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大一下\機械概論數據\"/>
    </mc:Choice>
  </mc:AlternateContent>
  <xr:revisionPtr revIDLastSave="0" documentId="13_ncr:1_{787F1AA8-4683-44EA-8AA2-8284D02BCD23}" xr6:coauthVersionLast="47" xr6:coauthVersionMax="47" xr10:uidLastSave="{00000000-0000-0000-0000-000000000000}"/>
  <bookViews>
    <workbookView xWindow="-108" yWindow="-108" windowWidth="23256" windowHeight="12456" firstSheet="1" activeTab="6" xr2:uid="{96E4D715-E6F6-4649-8A3F-DFB68075E3DD}"/>
  </bookViews>
  <sheets>
    <sheet name="全數據表格" sheetId="5" r:id="rId1"/>
    <sheet name="第一階段測試結果" sheetId="2" r:id="rId2"/>
    <sheet name="第二階段全因子" sheetId="3" r:id="rId3"/>
    <sheet name="第三階段全因子預測" sheetId="4" r:id="rId4"/>
    <sheet name="剖析圖表" sheetId="6" r:id="rId5"/>
    <sheet name="original data" sheetId="1" r:id="rId6"/>
    <sheet name="train" sheetId="7" r:id="rId7"/>
  </sheets>
  <definedNames>
    <definedName name="Slicer_有無主板">#N/A</definedName>
    <definedName name="Slicer_有無軸承">#N/A</definedName>
    <definedName name="Slicer_有無軸承1">#N/A</definedName>
    <definedName name="Slicer_傳動比">#N/A</definedName>
    <definedName name="Slicer_傳動比1">#N/A</definedName>
    <definedName name="Slicer_輪子數">#N/A</definedName>
    <definedName name="Slicer_齒輪數量">#N/A</definedName>
    <definedName name="Slicer_欄1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2" l="1"/>
  <c r="E67" i="2"/>
  <c r="D67" i="2"/>
  <c r="D68" i="2"/>
  <c r="B68" i="2"/>
  <c r="C68" i="2"/>
  <c r="C67" i="2"/>
  <c r="B67" i="2"/>
  <c r="P68" i="2"/>
  <c r="O68" i="2"/>
  <c r="P67" i="2"/>
  <c r="O67" i="2"/>
  <c r="N7" i="4"/>
  <c r="N8" i="4"/>
  <c r="O8" i="4"/>
  <c r="N9" i="4"/>
  <c r="O9" i="4"/>
  <c r="N10" i="4"/>
  <c r="O10" i="4"/>
  <c r="N11" i="4"/>
  <c r="O11" i="4"/>
  <c r="N12" i="4"/>
  <c r="O12" i="4"/>
  <c r="O13" i="4"/>
  <c r="P10" i="4"/>
  <c r="P11" i="4"/>
  <c r="P12" i="4"/>
  <c r="P13" i="4"/>
  <c r="P14" i="4"/>
  <c r="P9" i="4"/>
  <c r="M10" i="4"/>
  <c r="M11" i="4"/>
  <c r="M12" i="4"/>
  <c r="M13" i="4"/>
  <c r="M14" i="4"/>
  <c r="M9" i="4"/>
  <c r="L9" i="4"/>
  <c r="L10" i="4"/>
  <c r="L11" i="4"/>
  <c r="L12" i="4"/>
  <c r="L13" i="4"/>
  <c r="L8" i="4"/>
  <c r="K8" i="4"/>
  <c r="K9" i="4"/>
  <c r="K10" i="4"/>
  <c r="K11" i="4"/>
  <c r="K12" i="4"/>
  <c r="K7" i="4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Z2" i="5"/>
  <c r="Z3" i="5"/>
  <c r="Z4" i="5"/>
  <c r="Z5" i="5"/>
  <c r="Z6" i="5"/>
  <c r="Z7" i="5"/>
  <c r="Z8" i="5"/>
  <c r="Z9" i="5"/>
  <c r="AK9" i="5" s="1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AK25" i="5" s="1"/>
  <c r="Z26" i="5"/>
  <c r="Z27" i="5"/>
  <c r="Z28" i="5"/>
  <c r="Z29" i="5"/>
  <c r="AA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B2" i="5"/>
  <c r="AB3" i="5"/>
  <c r="AB4" i="5"/>
  <c r="AB5" i="5"/>
  <c r="AB6" i="5"/>
  <c r="AB7" i="5"/>
  <c r="AB8" i="5"/>
  <c r="AB9" i="5"/>
  <c r="AB10" i="5"/>
  <c r="AE10" i="5" s="1"/>
  <c r="AB11" i="5"/>
  <c r="AE11" i="5" s="1"/>
  <c r="AB12" i="5"/>
  <c r="AE12" i="5" s="1"/>
  <c r="AB13" i="5"/>
  <c r="AE13" i="5" s="1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E26" i="5" s="1"/>
  <c r="AB27" i="5"/>
  <c r="AE27" i="5" s="1"/>
  <c r="AB28" i="5"/>
  <c r="AE28" i="5" s="1"/>
  <c r="AB29" i="5"/>
  <c r="AE29" i="5" s="1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D2" i="5"/>
  <c r="AD3" i="5"/>
  <c r="AD4" i="5"/>
  <c r="AD5" i="5"/>
  <c r="AD6" i="5"/>
  <c r="AE6" i="5" s="1"/>
  <c r="AD7" i="5"/>
  <c r="AE7" i="5" s="1"/>
  <c r="AD8" i="5"/>
  <c r="AE8" i="5" s="1"/>
  <c r="AD9" i="5"/>
  <c r="AE9" i="5" s="1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E22" i="5" s="1"/>
  <c r="AD23" i="5"/>
  <c r="AE23" i="5" s="1"/>
  <c r="AD24" i="5"/>
  <c r="AE24" i="5" s="1"/>
  <c r="AD25" i="5"/>
  <c r="AE25" i="5" s="1"/>
  <c r="AD26" i="5"/>
  <c r="AD27" i="5"/>
  <c r="AD28" i="5"/>
  <c r="AD29" i="5"/>
  <c r="AG2" i="5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23" i="3"/>
  <c r="AG24" i="3"/>
  <c r="AG25" i="3"/>
  <c r="AG26" i="3"/>
  <c r="AG27" i="3"/>
  <c r="AG28" i="3"/>
  <c r="AG29" i="3"/>
  <c r="AG22" i="3"/>
  <c r="AB26" i="3"/>
  <c r="AI5" i="3"/>
  <c r="AJ5" i="3"/>
  <c r="AK5" i="3"/>
  <c r="AI6" i="3"/>
  <c r="AJ6" i="3"/>
  <c r="AK6" i="3"/>
  <c r="AI7" i="3"/>
  <c r="AJ7" i="3"/>
  <c r="AK7" i="3"/>
  <c r="AI8" i="3"/>
  <c r="AJ8" i="3"/>
  <c r="AK8" i="3"/>
  <c r="AI9" i="3"/>
  <c r="AJ9" i="3"/>
  <c r="AK9" i="3"/>
  <c r="AI10" i="3"/>
  <c r="AJ10" i="3"/>
  <c r="AK10" i="3"/>
  <c r="AI11" i="3"/>
  <c r="AJ11" i="3"/>
  <c r="AK11" i="3"/>
  <c r="AI12" i="3"/>
  <c r="AJ12" i="3"/>
  <c r="AK12" i="3"/>
  <c r="AH6" i="3"/>
  <c r="AH7" i="3"/>
  <c r="AH8" i="3"/>
  <c r="AH9" i="3"/>
  <c r="AH10" i="3"/>
  <c r="AH11" i="3"/>
  <c r="AH12" i="3"/>
  <c r="AH5" i="3"/>
  <c r="T26" i="3"/>
  <c r="N26" i="3"/>
  <c r="O26" i="3"/>
  <c r="P26" i="3"/>
  <c r="Q26" i="3"/>
  <c r="S26" i="3"/>
  <c r="U26" i="3"/>
  <c r="V26" i="3"/>
  <c r="W26" i="3"/>
  <c r="X26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I25" i="5"/>
  <c r="AH2" i="5"/>
  <c r="AH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5" i="5"/>
  <c r="AH26" i="5"/>
  <c r="AH27" i="5"/>
  <c r="AH24" i="5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W52" i="2"/>
  <c r="W53" i="2"/>
  <c r="AA27" i="2"/>
  <c r="AB29" i="3"/>
  <c r="Y22" i="3"/>
  <c r="N69" i="4"/>
  <c r="N70" i="4"/>
  <c r="N71" i="4"/>
  <c r="N72" i="4"/>
  <c r="N73" i="4"/>
  <c r="N74" i="4"/>
  <c r="N68" i="4"/>
  <c r="M69" i="4"/>
  <c r="M70" i="4"/>
  <c r="M71" i="4"/>
  <c r="M72" i="4"/>
  <c r="M73" i="4"/>
  <c r="M68" i="4"/>
  <c r="L67" i="4"/>
  <c r="L68" i="4"/>
  <c r="L69" i="4"/>
  <c r="L70" i="4"/>
  <c r="L71" i="4"/>
  <c r="L72" i="4"/>
  <c r="L73" i="4"/>
  <c r="L66" i="4"/>
  <c r="K69" i="4"/>
  <c r="K70" i="4"/>
  <c r="K71" i="4"/>
  <c r="K72" i="4"/>
  <c r="K73" i="4"/>
  <c r="K74" i="4"/>
  <c r="K68" i="4"/>
  <c r="J69" i="4"/>
  <c r="J70" i="4"/>
  <c r="J71" i="4"/>
  <c r="J72" i="4"/>
  <c r="J73" i="4"/>
  <c r="J68" i="4"/>
  <c r="I67" i="4"/>
  <c r="I68" i="4"/>
  <c r="I69" i="4"/>
  <c r="I70" i="4"/>
  <c r="I71" i="4"/>
  <c r="I72" i="4"/>
  <c r="I73" i="4"/>
  <c r="I66" i="4"/>
  <c r="P22" i="3"/>
  <c r="P23" i="3"/>
  <c r="P24" i="3"/>
  <c r="P25" i="3"/>
  <c r="P28" i="3"/>
  <c r="P29" i="3"/>
  <c r="T28" i="3"/>
  <c r="Y28" i="3" s="1"/>
  <c r="T29" i="3"/>
  <c r="AB28" i="3"/>
  <c r="AB10" i="3"/>
  <c r="Z23" i="3"/>
  <c r="AA23" i="3"/>
  <c r="Z24" i="3"/>
  <c r="AA24" i="3"/>
  <c r="Z25" i="3"/>
  <c r="AA25" i="3"/>
  <c r="Z28" i="3"/>
  <c r="AA28" i="3"/>
  <c r="Z29" i="3"/>
  <c r="AA29" i="3"/>
  <c r="T23" i="3"/>
  <c r="U23" i="3"/>
  <c r="V23" i="3"/>
  <c r="W23" i="3"/>
  <c r="T24" i="3"/>
  <c r="U24" i="3"/>
  <c r="V24" i="3"/>
  <c r="W24" i="3"/>
  <c r="T25" i="3"/>
  <c r="U25" i="3"/>
  <c r="V25" i="3"/>
  <c r="W25" i="3"/>
  <c r="U28" i="3"/>
  <c r="V28" i="3"/>
  <c r="W28" i="3"/>
  <c r="U29" i="3"/>
  <c r="V29" i="3"/>
  <c r="W29" i="3"/>
  <c r="N23" i="3"/>
  <c r="O23" i="3"/>
  <c r="Q23" i="3"/>
  <c r="S23" i="3"/>
  <c r="N24" i="3"/>
  <c r="O24" i="3"/>
  <c r="Q24" i="3"/>
  <c r="S24" i="3"/>
  <c r="N25" i="3"/>
  <c r="O25" i="3"/>
  <c r="Q25" i="3"/>
  <c r="S25" i="3"/>
  <c r="N28" i="3"/>
  <c r="O28" i="3"/>
  <c r="Q28" i="3"/>
  <c r="S28" i="3"/>
  <c r="N29" i="3"/>
  <c r="O29" i="3"/>
  <c r="Q29" i="3"/>
  <c r="S29" i="3"/>
  <c r="N22" i="3"/>
  <c r="O22" i="3"/>
  <c r="R22" i="3" s="1"/>
  <c r="Q22" i="3"/>
  <c r="S22" i="3"/>
  <c r="T22" i="3"/>
  <c r="U22" i="3"/>
  <c r="V22" i="3"/>
  <c r="W22" i="3"/>
  <c r="X22" i="3"/>
  <c r="Z22" i="3"/>
  <c r="AA22" i="3"/>
  <c r="AB22" i="3"/>
  <c r="AB23" i="3"/>
  <c r="P9" i="3"/>
  <c r="Q9" i="3"/>
  <c r="S9" i="3"/>
  <c r="T9" i="3"/>
  <c r="U9" i="3"/>
  <c r="V9" i="3"/>
  <c r="W9" i="3"/>
  <c r="Z9" i="3"/>
  <c r="AA9" i="3"/>
  <c r="P10" i="3"/>
  <c r="Q10" i="3"/>
  <c r="S10" i="3"/>
  <c r="T10" i="3"/>
  <c r="U10" i="3"/>
  <c r="V10" i="3"/>
  <c r="W10" i="3"/>
  <c r="Z10" i="3"/>
  <c r="AA10" i="3"/>
  <c r="P11" i="3"/>
  <c r="Q11" i="3"/>
  <c r="S11" i="3"/>
  <c r="T11" i="3"/>
  <c r="U11" i="3"/>
  <c r="V11" i="3"/>
  <c r="W11" i="3"/>
  <c r="Z11" i="3"/>
  <c r="AA11" i="3"/>
  <c r="P12" i="3"/>
  <c r="Q12" i="3"/>
  <c r="R12" i="3"/>
  <c r="S12" i="3"/>
  <c r="T12" i="3"/>
  <c r="U12" i="3"/>
  <c r="V12" i="3"/>
  <c r="W12" i="3"/>
  <c r="X12" i="3"/>
  <c r="Z12" i="3"/>
  <c r="AA12" i="3"/>
  <c r="O9" i="3"/>
  <c r="O10" i="3"/>
  <c r="O11" i="3"/>
  <c r="O12" i="3"/>
  <c r="N12" i="3"/>
  <c r="N9" i="3"/>
  <c r="N10" i="3"/>
  <c r="N11" i="3"/>
  <c r="Z5" i="3"/>
  <c r="AA5" i="3"/>
  <c r="Z6" i="3"/>
  <c r="AA6" i="3"/>
  <c r="Z7" i="3"/>
  <c r="AA7" i="3"/>
  <c r="Z8" i="3"/>
  <c r="AA8" i="3"/>
  <c r="T5" i="3"/>
  <c r="U5" i="3"/>
  <c r="V5" i="3"/>
  <c r="W5" i="3"/>
  <c r="T6" i="3"/>
  <c r="U6" i="3"/>
  <c r="V6" i="3"/>
  <c r="W6" i="3"/>
  <c r="Y6" i="3" s="1"/>
  <c r="T7" i="3"/>
  <c r="U7" i="3"/>
  <c r="V7" i="3"/>
  <c r="W7" i="3"/>
  <c r="T8" i="3"/>
  <c r="U8" i="3"/>
  <c r="Y8" i="3" s="1"/>
  <c r="V8" i="3"/>
  <c r="W8" i="3"/>
  <c r="S5" i="3"/>
  <c r="S6" i="3"/>
  <c r="S7" i="3"/>
  <c r="S8" i="3"/>
  <c r="P5" i="3"/>
  <c r="P6" i="3"/>
  <c r="P7" i="3"/>
  <c r="P8" i="3"/>
  <c r="O5" i="3"/>
  <c r="O6" i="3"/>
  <c r="O7" i="3"/>
  <c r="O8" i="3"/>
  <c r="AB6" i="3"/>
  <c r="Q8" i="3"/>
  <c r="N8" i="3"/>
  <c r="Q7" i="3"/>
  <c r="N7" i="3"/>
  <c r="Q6" i="3"/>
  <c r="N6" i="3"/>
  <c r="Q5" i="3"/>
  <c r="N5" i="3"/>
  <c r="N54" i="2"/>
  <c r="G6" i="1"/>
  <c r="G7" i="1"/>
  <c r="G8" i="1"/>
  <c r="H42" i="1" s="1"/>
  <c r="Q55" i="2"/>
  <c r="V55" i="2"/>
  <c r="P55" i="2"/>
  <c r="U55" i="2"/>
  <c r="O55" i="2"/>
  <c r="T55" i="2"/>
  <c r="V51" i="2"/>
  <c r="X52" i="2"/>
  <c r="Y52" i="2"/>
  <c r="X53" i="2"/>
  <c r="Y53" i="2"/>
  <c r="X54" i="2"/>
  <c r="Y54" i="2"/>
  <c r="Y51" i="2"/>
  <c r="X51" i="2"/>
  <c r="N52" i="2"/>
  <c r="O52" i="2"/>
  <c r="P52" i="2"/>
  <c r="Q52" i="2"/>
  <c r="R52" i="2"/>
  <c r="S52" i="2"/>
  <c r="T52" i="2"/>
  <c r="U52" i="2"/>
  <c r="V52" i="2"/>
  <c r="N53" i="2"/>
  <c r="O53" i="2"/>
  <c r="P53" i="2"/>
  <c r="Q53" i="2"/>
  <c r="R53" i="2"/>
  <c r="S53" i="2"/>
  <c r="T53" i="2"/>
  <c r="U53" i="2"/>
  <c r="V53" i="2"/>
  <c r="O54" i="2"/>
  <c r="P54" i="2"/>
  <c r="Q54" i="2"/>
  <c r="R54" i="2"/>
  <c r="S54" i="2"/>
  <c r="W54" i="2" s="1"/>
  <c r="T54" i="2"/>
  <c r="U54" i="2"/>
  <c r="V54" i="2"/>
  <c r="N51" i="2"/>
  <c r="U51" i="2"/>
  <c r="S51" i="2"/>
  <c r="Q51" i="2"/>
  <c r="P51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20" i="2"/>
  <c r="B1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27" i="2"/>
  <c r="R43" i="2"/>
  <c r="S43" i="2"/>
  <c r="T43" i="2"/>
  <c r="U43" i="2"/>
  <c r="V43" i="2"/>
  <c r="W43" i="2"/>
  <c r="X43" i="2"/>
  <c r="Y43" i="2"/>
  <c r="Z43" i="2"/>
  <c r="Y59" i="1"/>
  <c r="Z59" i="1"/>
  <c r="AA59" i="1"/>
  <c r="AB59" i="1"/>
  <c r="AC59" i="1"/>
  <c r="X59" i="1"/>
  <c r="W59" i="1"/>
  <c r="V59" i="1"/>
  <c r="U59" i="1"/>
  <c r="B20" i="2"/>
  <c r="C20" i="2"/>
  <c r="E20" i="2"/>
  <c r="F20" i="2"/>
  <c r="G20" i="2"/>
  <c r="H20" i="2"/>
  <c r="I20" i="2"/>
  <c r="J20" i="2"/>
  <c r="K20" i="2"/>
  <c r="L20" i="2"/>
  <c r="M20" i="2"/>
  <c r="N20" i="2"/>
  <c r="O20" i="2"/>
  <c r="P20" i="2"/>
  <c r="T59" i="1"/>
  <c r="AD59" i="1"/>
  <c r="R59" i="1"/>
  <c r="B59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S2" i="2"/>
  <c r="T2" i="2"/>
  <c r="W2" i="2"/>
  <c r="S3" i="2"/>
  <c r="T3" i="2"/>
  <c r="U3" i="2"/>
  <c r="V3" i="2"/>
  <c r="W3" i="2"/>
  <c r="Y3" i="2"/>
  <c r="AA3" i="2"/>
  <c r="AC3" i="2"/>
  <c r="T4" i="2"/>
  <c r="U4" i="2"/>
  <c r="V4" i="2"/>
  <c r="W4" i="2"/>
  <c r="X4" i="2"/>
  <c r="Y4" i="2"/>
  <c r="Z4" i="2"/>
  <c r="AA4" i="2"/>
  <c r="AB4" i="2"/>
  <c r="AC4" i="2"/>
  <c r="AD4" i="2"/>
  <c r="S5" i="2"/>
  <c r="T5" i="2"/>
  <c r="U5" i="2"/>
  <c r="V5" i="2"/>
  <c r="W5" i="2"/>
  <c r="X5" i="2"/>
  <c r="Y5" i="2"/>
  <c r="Z5" i="2"/>
  <c r="AA5" i="2"/>
  <c r="AB5" i="2"/>
  <c r="AC5" i="2"/>
  <c r="AD5" i="2"/>
  <c r="S6" i="2"/>
  <c r="T6" i="2"/>
  <c r="U6" i="2"/>
  <c r="V6" i="2"/>
  <c r="W6" i="2"/>
  <c r="X6" i="2"/>
  <c r="Y6" i="2"/>
  <c r="Z6" i="2"/>
  <c r="AA6" i="2"/>
  <c r="AB6" i="2"/>
  <c r="AC6" i="2"/>
  <c r="AD6" i="2"/>
  <c r="S7" i="2"/>
  <c r="T7" i="2"/>
  <c r="U7" i="2"/>
  <c r="V7" i="2"/>
  <c r="W7" i="2"/>
  <c r="X7" i="2"/>
  <c r="Y7" i="2"/>
  <c r="Z7" i="2"/>
  <c r="AA7" i="2"/>
  <c r="AB7" i="2"/>
  <c r="AC7" i="2"/>
  <c r="AD7" i="2"/>
  <c r="S8" i="2"/>
  <c r="T8" i="2"/>
  <c r="U8" i="2"/>
  <c r="V8" i="2"/>
  <c r="W8" i="2"/>
  <c r="X8" i="2"/>
  <c r="Y8" i="2"/>
  <c r="Z8" i="2"/>
  <c r="AA8" i="2"/>
  <c r="AB8" i="2"/>
  <c r="AC8" i="2"/>
  <c r="AD8" i="2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AC58" i="1"/>
  <c r="AB58" i="1"/>
  <c r="AA58" i="1"/>
  <c r="Z58" i="1"/>
  <c r="Y58" i="1"/>
  <c r="P58" i="1"/>
  <c r="O58" i="1"/>
  <c r="N58" i="1"/>
  <c r="M58" i="1"/>
  <c r="L58" i="1"/>
  <c r="K58" i="1"/>
  <c r="J58" i="1"/>
  <c r="I58" i="1"/>
  <c r="H58" i="1"/>
  <c r="G58" i="1"/>
  <c r="F58" i="1"/>
  <c r="D58" i="1"/>
  <c r="C58" i="1"/>
  <c r="B58" i="1"/>
  <c r="AC57" i="1"/>
  <c r="AB57" i="1"/>
  <c r="AA57" i="1"/>
  <c r="Z57" i="1"/>
  <c r="Y57" i="1"/>
  <c r="P57" i="1"/>
  <c r="O57" i="1"/>
  <c r="N57" i="1"/>
  <c r="M57" i="1"/>
  <c r="L57" i="1"/>
  <c r="K57" i="1"/>
  <c r="J57" i="1"/>
  <c r="I57" i="1"/>
  <c r="H57" i="1"/>
  <c r="G57" i="1"/>
  <c r="F57" i="1"/>
  <c r="D57" i="1"/>
  <c r="C57" i="1"/>
  <c r="B57" i="1"/>
  <c r="AC56" i="1"/>
  <c r="AB56" i="1"/>
  <c r="AA56" i="1"/>
  <c r="Z56" i="1"/>
  <c r="Y56" i="1"/>
  <c r="P56" i="1"/>
  <c r="O56" i="1"/>
  <c r="N56" i="1"/>
  <c r="M56" i="1"/>
  <c r="L56" i="1"/>
  <c r="K56" i="1"/>
  <c r="J56" i="1"/>
  <c r="I56" i="1"/>
  <c r="H56" i="1"/>
  <c r="G56" i="1"/>
  <c r="F56" i="1"/>
  <c r="E56" i="1"/>
  <c r="D17" i="2" s="1"/>
  <c r="D56" i="1"/>
  <c r="C56" i="1"/>
  <c r="B56" i="1"/>
  <c r="AC55" i="1"/>
  <c r="AB55" i="1"/>
  <c r="AA55" i="1"/>
  <c r="Z55" i="1"/>
  <c r="Y55" i="1"/>
  <c r="P55" i="1"/>
  <c r="O55" i="1"/>
  <c r="N55" i="1"/>
  <c r="M55" i="1"/>
  <c r="L55" i="1"/>
  <c r="K55" i="1"/>
  <c r="J55" i="1"/>
  <c r="I55" i="1"/>
  <c r="H55" i="1"/>
  <c r="G55" i="1"/>
  <c r="F55" i="1"/>
  <c r="D55" i="1"/>
  <c r="C55" i="1"/>
  <c r="B55" i="1"/>
  <c r="AC54" i="1"/>
  <c r="AB54" i="1"/>
  <c r="AA54" i="1"/>
  <c r="Z54" i="1"/>
  <c r="Y54" i="1"/>
  <c r="P54" i="1"/>
  <c r="O54" i="1"/>
  <c r="N54" i="1"/>
  <c r="M54" i="1"/>
  <c r="L54" i="1"/>
  <c r="K54" i="1"/>
  <c r="J54" i="1"/>
  <c r="I54" i="1"/>
  <c r="H54" i="1"/>
  <c r="G54" i="1"/>
  <c r="F54" i="1"/>
  <c r="D54" i="1"/>
  <c r="C54" i="1"/>
  <c r="B54" i="1"/>
  <c r="AC53" i="1"/>
  <c r="AB53" i="1"/>
  <c r="AA53" i="1"/>
  <c r="Z53" i="1"/>
  <c r="Y53" i="1"/>
  <c r="P53" i="1"/>
  <c r="O53" i="1"/>
  <c r="N53" i="1"/>
  <c r="M53" i="1"/>
  <c r="L53" i="1"/>
  <c r="K53" i="1"/>
  <c r="J53" i="1"/>
  <c r="I53" i="1"/>
  <c r="H53" i="1"/>
  <c r="G53" i="1"/>
  <c r="F53" i="1"/>
  <c r="D53" i="1"/>
  <c r="C53" i="1"/>
  <c r="B53" i="1"/>
  <c r="AC52" i="1"/>
  <c r="AB52" i="1"/>
  <c r="AA52" i="1"/>
  <c r="Z52" i="1"/>
  <c r="Y52" i="1"/>
  <c r="P52" i="1"/>
  <c r="O52" i="1"/>
  <c r="N52" i="1"/>
  <c r="M52" i="1"/>
  <c r="L52" i="1"/>
  <c r="K52" i="1"/>
  <c r="J52" i="1"/>
  <c r="I52" i="1"/>
  <c r="H52" i="1"/>
  <c r="G52" i="1"/>
  <c r="F52" i="1"/>
  <c r="E52" i="1"/>
  <c r="D13" i="2" s="1"/>
  <c r="D52" i="1"/>
  <c r="C52" i="1"/>
  <c r="B52" i="1"/>
  <c r="AC51" i="1"/>
  <c r="AB51" i="1"/>
  <c r="AA51" i="1"/>
  <c r="Z51" i="1"/>
  <c r="Y51" i="1"/>
  <c r="P51" i="1"/>
  <c r="O51" i="1"/>
  <c r="N51" i="1"/>
  <c r="M51" i="1"/>
  <c r="L51" i="1"/>
  <c r="K51" i="1"/>
  <c r="J51" i="1"/>
  <c r="I51" i="1"/>
  <c r="H51" i="1"/>
  <c r="G51" i="1"/>
  <c r="F51" i="1"/>
  <c r="D51" i="1"/>
  <c r="C51" i="1"/>
  <c r="B51" i="1"/>
  <c r="AC50" i="1"/>
  <c r="AB50" i="1"/>
  <c r="AA50" i="1"/>
  <c r="Z50" i="1"/>
  <c r="Y50" i="1"/>
  <c r="P50" i="1"/>
  <c r="O50" i="1"/>
  <c r="N50" i="1"/>
  <c r="M50" i="1"/>
  <c r="L50" i="1"/>
  <c r="K50" i="1"/>
  <c r="J50" i="1"/>
  <c r="I50" i="1"/>
  <c r="H50" i="1"/>
  <c r="G50" i="1"/>
  <c r="F50" i="1"/>
  <c r="D50" i="1"/>
  <c r="C50" i="1"/>
  <c r="B50" i="1"/>
  <c r="AC49" i="1"/>
  <c r="AB49" i="1"/>
  <c r="AA49" i="1"/>
  <c r="Z49" i="1"/>
  <c r="Y49" i="1"/>
  <c r="P49" i="1"/>
  <c r="O49" i="1"/>
  <c r="N49" i="1"/>
  <c r="M49" i="1"/>
  <c r="L49" i="1"/>
  <c r="K49" i="1"/>
  <c r="J49" i="1"/>
  <c r="I49" i="1"/>
  <c r="H49" i="1"/>
  <c r="G49" i="1"/>
  <c r="F49" i="1"/>
  <c r="D49" i="1"/>
  <c r="C49" i="1"/>
  <c r="B49" i="1"/>
  <c r="AC48" i="1"/>
  <c r="AB48" i="1"/>
  <c r="AA48" i="1"/>
  <c r="Z48" i="1"/>
  <c r="Y48" i="1"/>
  <c r="P48" i="1"/>
  <c r="O48" i="1"/>
  <c r="N48" i="1"/>
  <c r="M48" i="1"/>
  <c r="L48" i="1"/>
  <c r="K48" i="1"/>
  <c r="J48" i="1"/>
  <c r="I48" i="1"/>
  <c r="H48" i="1"/>
  <c r="G48" i="1"/>
  <c r="F48" i="1"/>
  <c r="E48" i="1"/>
  <c r="D9" i="2" s="1"/>
  <c r="D48" i="1"/>
  <c r="C48" i="1"/>
  <c r="B48" i="1"/>
  <c r="AC47" i="1"/>
  <c r="AB47" i="1"/>
  <c r="AA47" i="1"/>
  <c r="Z47" i="1"/>
  <c r="Y47" i="1"/>
  <c r="P47" i="1"/>
  <c r="O47" i="1"/>
  <c r="N47" i="1"/>
  <c r="M47" i="1"/>
  <c r="L47" i="1"/>
  <c r="K47" i="1"/>
  <c r="J47" i="1"/>
  <c r="I47" i="1"/>
  <c r="H47" i="1"/>
  <c r="G47" i="1"/>
  <c r="F47" i="1"/>
  <c r="E47" i="1"/>
  <c r="D8" i="2" s="1"/>
  <c r="D47" i="1"/>
  <c r="C47" i="1"/>
  <c r="B47" i="1"/>
  <c r="AC46" i="1"/>
  <c r="AB46" i="1"/>
  <c r="AA46" i="1"/>
  <c r="Z46" i="1"/>
  <c r="Y46" i="1"/>
  <c r="P46" i="1"/>
  <c r="O46" i="1"/>
  <c r="N46" i="1"/>
  <c r="M46" i="1"/>
  <c r="L46" i="1"/>
  <c r="K46" i="1"/>
  <c r="J46" i="1"/>
  <c r="I46" i="1"/>
  <c r="H46" i="1"/>
  <c r="G46" i="1"/>
  <c r="F46" i="1"/>
  <c r="D46" i="1"/>
  <c r="C46" i="1"/>
  <c r="B46" i="1"/>
  <c r="AC45" i="1"/>
  <c r="AB45" i="1"/>
  <c r="AA45" i="1"/>
  <c r="Z45" i="1"/>
  <c r="Y45" i="1"/>
  <c r="P45" i="1"/>
  <c r="O45" i="1"/>
  <c r="N45" i="1"/>
  <c r="M45" i="1"/>
  <c r="L45" i="1"/>
  <c r="K45" i="1"/>
  <c r="J45" i="1"/>
  <c r="I45" i="1"/>
  <c r="H45" i="1"/>
  <c r="G45" i="1"/>
  <c r="F45" i="1"/>
  <c r="D45" i="1"/>
  <c r="C45" i="1"/>
  <c r="B45" i="1"/>
  <c r="AC44" i="1"/>
  <c r="AB44" i="1"/>
  <c r="AA44" i="1"/>
  <c r="Z44" i="1"/>
  <c r="Y44" i="1"/>
  <c r="P44" i="1"/>
  <c r="O44" i="1"/>
  <c r="N44" i="1"/>
  <c r="M44" i="1"/>
  <c r="L44" i="1"/>
  <c r="K44" i="1"/>
  <c r="J44" i="1"/>
  <c r="I44" i="1"/>
  <c r="H44" i="1"/>
  <c r="G44" i="1"/>
  <c r="F44" i="1"/>
  <c r="E44" i="1"/>
  <c r="D5" i="2" s="1"/>
  <c r="D44" i="1"/>
  <c r="C44" i="1"/>
  <c r="B44" i="1"/>
  <c r="AC43" i="1"/>
  <c r="AB43" i="1"/>
  <c r="AA43" i="1"/>
  <c r="Z43" i="1"/>
  <c r="Y43" i="1"/>
  <c r="P43" i="1"/>
  <c r="O43" i="1"/>
  <c r="N43" i="1"/>
  <c r="M43" i="1"/>
  <c r="L43" i="1"/>
  <c r="K43" i="1"/>
  <c r="J43" i="1"/>
  <c r="I43" i="1"/>
  <c r="H43" i="1"/>
  <c r="G43" i="1"/>
  <c r="F43" i="1"/>
  <c r="E43" i="1"/>
  <c r="D4" i="2" s="1"/>
  <c r="D43" i="1"/>
  <c r="C43" i="1"/>
  <c r="B43" i="1"/>
  <c r="AB42" i="1"/>
  <c r="AA42" i="1"/>
  <c r="Z42" i="1"/>
  <c r="Y42" i="1"/>
  <c r="P42" i="1"/>
  <c r="O42" i="1"/>
  <c r="N42" i="1"/>
  <c r="M42" i="1"/>
  <c r="K42" i="1"/>
  <c r="I42" i="1"/>
  <c r="G42" i="1"/>
  <c r="F42" i="1"/>
  <c r="E42" i="1"/>
  <c r="D42" i="1"/>
  <c r="C42" i="1"/>
  <c r="B42" i="1"/>
  <c r="B2" i="2" s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I16" i="1"/>
  <c r="H16" i="1"/>
  <c r="G16" i="1"/>
  <c r="G15" i="1"/>
  <c r="G14" i="1"/>
  <c r="I13" i="1"/>
  <c r="H13" i="1"/>
  <c r="G13" i="1"/>
  <c r="G12" i="1"/>
  <c r="L42" i="1" s="1"/>
  <c r="I11" i="1"/>
  <c r="H11" i="1"/>
  <c r="G11" i="1"/>
  <c r="G10" i="1"/>
  <c r="J42" i="1" s="1"/>
  <c r="I9" i="1"/>
  <c r="H9" i="1"/>
  <c r="G9" i="1"/>
  <c r="I5" i="1"/>
  <c r="E50" i="1" s="1"/>
  <c r="D11" i="2" s="1"/>
  <c r="H5" i="1"/>
  <c r="E51" i="1" s="1"/>
  <c r="D12" i="2" s="1"/>
  <c r="G5" i="1"/>
  <c r="G4" i="1"/>
  <c r="I3" i="1"/>
  <c r="H3" i="1"/>
  <c r="G3" i="1"/>
  <c r="I2" i="1"/>
  <c r="H2" i="1"/>
  <c r="G2" i="1"/>
  <c r="Z42" i="2"/>
  <c r="Y42" i="2"/>
  <c r="X42" i="2"/>
  <c r="W42" i="2"/>
  <c r="V42" i="2"/>
  <c r="U42" i="2"/>
  <c r="T42" i="2"/>
  <c r="S42" i="2"/>
  <c r="R42" i="2"/>
  <c r="Z41" i="2"/>
  <c r="Y41" i="2"/>
  <c r="X41" i="2"/>
  <c r="W41" i="2"/>
  <c r="V41" i="2"/>
  <c r="U41" i="2"/>
  <c r="T41" i="2"/>
  <c r="S41" i="2"/>
  <c r="R41" i="2"/>
  <c r="Z40" i="2"/>
  <c r="Y40" i="2"/>
  <c r="X40" i="2"/>
  <c r="W40" i="2"/>
  <c r="V40" i="2"/>
  <c r="U40" i="2"/>
  <c r="T40" i="2"/>
  <c r="S40" i="2"/>
  <c r="R40" i="2"/>
  <c r="Z39" i="2"/>
  <c r="Y39" i="2"/>
  <c r="X39" i="2"/>
  <c r="W39" i="2"/>
  <c r="V39" i="2"/>
  <c r="U39" i="2"/>
  <c r="T39" i="2"/>
  <c r="S39" i="2"/>
  <c r="R39" i="2"/>
  <c r="Z38" i="2"/>
  <c r="Y38" i="2"/>
  <c r="X38" i="2"/>
  <c r="W38" i="2"/>
  <c r="V38" i="2"/>
  <c r="U38" i="2"/>
  <c r="T38" i="2"/>
  <c r="S38" i="2"/>
  <c r="R38" i="2"/>
  <c r="Z37" i="2"/>
  <c r="Y37" i="2"/>
  <c r="X37" i="2"/>
  <c r="W37" i="2"/>
  <c r="V37" i="2"/>
  <c r="U37" i="2"/>
  <c r="T37" i="2"/>
  <c r="S37" i="2"/>
  <c r="R37" i="2"/>
  <c r="Z36" i="2"/>
  <c r="Y36" i="2"/>
  <c r="X36" i="2"/>
  <c r="W36" i="2"/>
  <c r="V36" i="2"/>
  <c r="U36" i="2"/>
  <c r="T36" i="2"/>
  <c r="S36" i="2"/>
  <c r="R36" i="2"/>
  <c r="Z35" i="2"/>
  <c r="Y35" i="2"/>
  <c r="X35" i="2"/>
  <c r="W35" i="2"/>
  <c r="V35" i="2"/>
  <c r="U35" i="2"/>
  <c r="T35" i="2"/>
  <c r="S35" i="2"/>
  <c r="R35" i="2"/>
  <c r="Z34" i="2"/>
  <c r="Y34" i="2"/>
  <c r="X34" i="2"/>
  <c r="W34" i="2"/>
  <c r="V34" i="2"/>
  <c r="U34" i="2"/>
  <c r="T34" i="2"/>
  <c r="S34" i="2"/>
  <c r="R34" i="2"/>
  <c r="Z33" i="2"/>
  <c r="Y33" i="2"/>
  <c r="X33" i="2"/>
  <c r="W33" i="2"/>
  <c r="V33" i="2"/>
  <c r="U33" i="2"/>
  <c r="T33" i="2"/>
  <c r="S33" i="2"/>
  <c r="R33" i="2"/>
  <c r="Z32" i="2"/>
  <c r="Y32" i="2"/>
  <c r="X32" i="2"/>
  <c r="W32" i="2"/>
  <c r="V32" i="2"/>
  <c r="U32" i="2"/>
  <c r="T32" i="2"/>
  <c r="S32" i="2"/>
  <c r="R32" i="2"/>
  <c r="Z31" i="2"/>
  <c r="Y31" i="2"/>
  <c r="X31" i="2"/>
  <c r="W31" i="2"/>
  <c r="V31" i="2"/>
  <c r="U31" i="2"/>
  <c r="T31" i="2"/>
  <c r="S31" i="2"/>
  <c r="R31" i="2"/>
  <c r="Z30" i="2"/>
  <c r="Y30" i="2"/>
  <c r="X30" i="2"/>
  <c r="W30" i="2"/>
  <c r="V30" i="2"/>
  <c r="U30" i="2"/>
  <c r="T30" i="2"/>
  <c r="S30" i="2"/>
  <c r="R30" i="2"/>
  <c r="Z29" i="2"/>
  <c r="Y29" i="2"/>
  <c r="X29" i="2"/>
  <c r="W29" i="2"/>
  <c r="V29" i="2"/>
  <c r="U29" i="2"/>
  <c r="T29" i="2"/>
  <c r="S29" i="2"/>
  <c r="R29" i="2"/>
  <c r="Z28" i="2"/>
  <c r="Y28" i="2"/>
  <c r="X28" i="2"/>
  <c r="W28" i="2"/>
  <c r="V28" i="2"/>
  <c r="U28" i="2"/>
  <c r="T28" i="2"/>
  <c r="S28" i="2"/>
  <c r="R28" i="2"/>
  <c r="Z27" i="2"/>
  <c r="Y27" i="2"/>
  <c r="X27" i="2"/>
  <c r="W27" i="2"/>
  <c r="V27" i="2"/>
  <c r="U27" i="2"/>
  <c r="T27" i="2"/>
  <c r="S27" i="2"/>
  <c r="R27" i="2"/>
  <c r="P19" i="2"/>
  <c r="O19" i="2"/>
  <c r="N19" i="2"/>
  <c r="M19" i="2"/>
  <c r="L19" i="2"/>
  <c r="K19" i="2"/>
  <c r="J19" i="2"/>
  <c r="I19" i="2"/>
  <c r="H19" i="2"/>
  <c r="G19" i="2"/>
  <c r="F19" i="2"/>
  <c r="E19" i="2"/>
  <c r="C19" i="2"/>
  <c r="B19" i="2"/>
  <c r="A19" i="2"/>
  <c r="P18" i="2"/>
  <c r="O18" i="2"/>
  <c r="N18" i="2"/>
  <c r="M18" i="2"/>
  <c r="L18" i="2"/>
  <c r="K18" i="2"/>
  <c r="J18" i="2"/>
  <c r="I18" i="2"/>
  <c r="H18" i="2"/>
  <c r="G18" i="2"/>
  <c r="F18" i="2"/>
  <c r="E18" i="2"/>
  <c r="C18" i="2"/>
  <c r="B18" i="2"/>
  <c r="A18" i="2"/>
  <c r="P17" i="2"/>
  <c r="O17" i="2"/>
  <c r="N17" i="2"/>
  <c r="M17" i="2"/>
  <c r="L17" i="2"/>
  <c r="K17" i="2"/>
  <c r="J17" i="2"/>
  <c r="I17" i="2"/>
  <c r="H17" i="2"/>
  <c r="G17" i="2"/>
  <c r="F17" i="2"/>
  <c r="E17" i="2"/>
  <c r="C17" i="2"/>
  <c r="B17" i="2"/>
  <c r="A17" i="2"/>
  <c r="P16" i="2"/>
  <c r="O16" i="2"/>
  <c r="N16" i="2"/>
  <c r="M16" i="2"/>
  <c r="L16" i="2"/>
  <c r="K16" i="2"/>
  <c r="J16" i="2"/>
  <c r="I16" i="2"/>
  <c r="H16" i="2"/>
  <c r="G16" i="2"/>
  <c r="F16" i="2"/>
  <c r="E16" i="2"/>
  <c r="C16" i="2"/>
  <c r="B16" i="2"/>
  <c r="A16" i="2"/>
  <c r="P15" i="2"/>
  <c r="O15" i="2"/>
  <c r="N15" i="2"/>
  <c r="M15" i="2"/>
  <c r="L15" i="2"/>
  <c r="K15" i="2"/>
  <c r="J15" i="2"/>
  <c r="I15" i="2"/>
  <c r="H15" i="2"/>
  <c r="G15" i="2"/>
  <c r="F15" i="2"/>
  <c r="E15" i="2"/>
  <c r="C15" i="2"/>
  <c r="B15" i="2"/>
  <c r="A15" i="2"/>
  <c r="P14" i="2"/>
  <c r="O14" i="2"/>
  <c r="N14" i="2"/>
  <c r="M14" i="2"/>
  <c r="L14" i="2"/>
  <c r="K14" i="2"/>
  <c r="J14" i="2"/>
  <c r="I14" i="2"/>
  <c r="H14" i="2"/>
  <c r="G14" i="2"/>
  <c r="F14" i="2"/>
  <c r="E14" i="2"/>
  <c r="C14" i="2"/>
  <c r="B14" i="2"/>
  <c r="A14" i="2"/>
  <c r="P13" i="2"/>
  <c r="O13" i="2"/>
  <c r="N13" i="2"/>
  <c r="M13" i="2"/>
  <c r="L13" i="2"/>
  <c r="K13" i="2"/>
  <c r="J13" i="2"/>
  <c r="I13" i="2"/>
  <c r="H13" i="2"/>
  <c r="G13" i="2"/>
  <c r="F13" i="2"/>
  <c r="E13" i="2"/>
  <c r="C13" i="2"/>
  <c r="B13" i="2"/>
  <c r="A13" i="2"/>
  <c r="P12" i="2"/>
  <c r="O12" i="2"/>
  <c r="N12" i="2"/>
  <c r="M12" i="2"/>
  <c r="L12" i="2"/>
  <c r="K12" i="2"/>
  <c r="J12" i="2"/>
  <c r="I12" i="2"/>
  <c r="H12" i="2"/>
  <c r="G12" i="2"/>
  <c r="F12" i="2"/>
  <c r="E12" i="2"/>
  <c r="C12" i="2"/>
  <c r="B12" i="2"/>
  <c r="A12" i="2"/>
  <c r="P11" i="2"/>
  <c r="O11" i="2"/>
  <c r="N11" i="2"/>
  <c r="M11" i="2"/>
  <c r="L11" i="2"/>
  <c r="K11" i="2"/>
  <c r="J11" i="2"/>
  <c r="I11" i="2"/>
  <c r="H11" i="2"/>
  <c r="G11" i="2"/>
  <c r="F11" i="2"/>
  <c r="E11" i="2"/>
  <c r="C11" i="2"/>
  <c r="B11" i="2"/>
  <c r="A11" i="2"/>
  <c r="P10" i="2"/>
  <c r="O10" i="2"/>
  <c r="N10" i="2"/>
  <c r="M10" i="2"/>
  <c r="L10" i="2"/>
  <c r="K10" i="2"/>
  <c r="J10" i="2"/>
  <c r="I10" i="2"/>
  <c r="H10" i="2"/>
  <c r="G10" i="2"/>
  <c r="F10" i="2"/>
  <c r="E10" i="2"/>
  <c r="C10" i="2"/>
  <c r="B10" i="2"/>
  <c r="A10" i="2"/>
  <c r="P9" i="2"/>
  <c r="O9" i="2"/>
  <c r="N9" i="2"/>
  <c r="M9" i="2"/>
  <c r="L9" i="2"/>
  <c r="K9" i="2"/>
  <c r="J9" i="2"/>
  <c r="I9" i="2"/>
  <c r="H9" i="2"/>
  <c r="G9" i="2"/>
  <c r="F9" i="2"/>
  <c r="E9" i="2"/>
  <c r="C9" i="2"/>
  <c r="B9" i="2"/>
  <c r="A9" i="2"/>
  <c r="P8" i="2"/>
  <c r="O8" i="2"/>
  <c r="N8" i="2"/>
  <c r="M8" i="2"/>
  <c r="L8" i="2"/>
  <c r="K8" i="2"/>
  <c r="J8" i="2"/>
  <c r="I8" i="2"/>
  <c r="H8" i="2"/>
  <c r="G8" i="2"/>
  <c r="F8" i="2"/>
  <c r="E8" i="2"/>
  <c r="C8" i="2"/>
  <c r="B8" i="2"/>
  <c r="A8" i="2"/>
  <c r="P7" i="2"/>
  <c r="O7" i="2"/>
  <c r="N7" i="2"/>
  <c r="M7" i="2"/>
  <c r="L7" i="2"/>
  <c r="K7" i="2"/>
  <c r="J7" i="2"/>
  <c r="I7" i="2"/>
  <c r="H7" i="2"/>
  <c r="G7" i="2"/>
  <c r="F7" i="2"/>
  <c r="E7" i="2"/>
  <c r="C7" i="2"/>
  <c r="B7" i="2"/>
  <c r="A7" i="2"/>
  <c r="P6" i="2"/>
  <c r="O6" i="2"/>
  <c r="N6" i="2"/>
  <c r="M6" i="2"/>
  <c r="L6" i="2"/>
  <c r="K6" i="2"/>
  <c r="J6" i="2"/>
  <c r="I6" i="2"/>
  <c r="H6" i="2"/>
  <c r="G6" i="2"/>
  <c r="F6" i="2"/>
  <c r="E6" i="2"/>
  <c r="C6" i="2"/>
  <c r="B6" i="2"/>
  <c r="A6" i="2"/>
  <c r="P5" i="2"/>
  <c r="O5" i="2"/>
  <c r="N5" i="2"/>
  <c r="M5" i="2"/>
  <c r="L5" i="2"/>
  <c r="K5" i="2"/>
  <c r="J5" i="2"/>
  <c r="I5" i="2"/>
  <c r="H5" i="2"/>
  <c r="G5" i="2"/>
  <c r="F5" i="2"/>
  <c r="E5" i="2"/>
  <c r="C5" i="2"/>
  <c r="B5" i="2"/>
  <c r="A5" i="2"/>
  <c r="P4" i="2"/>
  <c r="O4" i="2"/>
  <c r="N4" i="2"/>
  <c r="M4" i="2"/>
  <c r="L4" i="2"/>
  <c r="K4" i="2"/>
  <c r="J4" i="2"/>
  <c r="I4" i="2"/>
  <c r="H4" i="2"/>
  <c r="G4" i="2"/>
  <c r="F4" i="2"/>
  <c r="E4" i="2"/>
  <c r="C4" i="2"/>
  <c r="B4" i="2"/>
  <c r="A4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O2" i="2"/>
  <c r="M2" i="2"/>
  <c r="K2" i="2"/>
  <c r="I2" i="2"/>
  <c r="H2" i="2"/>
  <c r="G2" i="2"/>
  <c r="F2" i="2"/>
  <c r="E2" i="2"/>
  <c r="D2" i="2"/>
  <c r="C2" i="2"/>
  <c r="A2" i="2"/>
  <c r="I1" i="2"/>
  <c r="M75" i="4" l="1"/>
  <c r="AF16" i="5"/>
  <c r="AK24" i="5"/>
  <c r="AK6" i="5"/>
  <c r="AE5" i="5"/>
  <c r="AF9" i="5"/>
  <c r="AK5" i="5"/>
  <c r="AK2" i="5"/>
  <c r="AF23" i="5"/>
  <c r="AE14" i="5"/>
  <c r="AF6" i="5"/>
  <c r="AE20" i="5"/>
  <c r="AE15" i="5"/>
  <c r="AF18" i="5"/>
  <c r="AK27" i="5"/>
  <c r="AK11" i="5"/>
  <c r="AK8" i="5"/>
  <c r="AK22" i="5"/>
  <c r="AE21" i="5"/>
  <c r="AF17" i="5"/>
  <c r="AF25" i="5"/>
  <c r="AK21" i="5"/>
  <c r="AE4" i="5"/>
  <c r="AF24" i="5"/>
  <c r="AF8" i="5"/>
  <c r="AK20" i="5"/>
  <c r="AF19" i="5"/>
  <c r="AF7" i="5"/>
  <c r="AF2" i="5"/>
  <c r="AF22" i="5"/>
  <c r="AK12" i="5"/>
  <c r="AK16" i="5"/>
  <c r="AK26" i="5"/>
  <c r="AK10" i="5"/>
  <c r="AK19" i="5"/>
  <c r="AK3" i="5"/>
  <c r="AK29" i="5"/>
  <c r="AK17" i="5"/>
  <c r="AK13" i="5"/>
  <c r="AK28" i="5"/>
  <c r="AK4" i="5"/>
  <c r="AK23" i="5"/>
  <c r="AK15" i="5"/>
  <c r="AK7" i="5"/>
  <c r="AK18" i="5"/>
  <c r="AK14" i="5"/>
  <c r="AE18" i="5"/>
  <c r="AJ21" i="5"/>
  <c r="AF14" i="5"/>
  <c r="AF26" i="5"/>
  <c r="AE2" i="5"/>
  <c r="AF10" i="5"/>
  <c r="AJ17" i="5"/>
  <c r="AF13" i="5"/>
  <c r="AE3" i="5"/>
  <c r="AF15" i="5"/>
  <c r="AJ23" i="5"/>
  <c r="AJ7" i="5"/>
  <c r="AJ10" i="5"/>
  <c r="AJ26" i="5"/>
  <c r="AJ2" i="5"/>
  <c r="AJ18" i="5"/>
  <c r="AF12" i="5"/>
  <c r="AJ22" i="5"/>
  <c r="AJ6" i="5"/>
  <c r="AE16" i="5"/>
  <c r="AJ16" i="5"/>
  <c r="AJ15" i="5"/>
  <c r="AJ19" i="5"/>
  <c r="AF5" i="5"/>
  <c r="AJ29" i="5"/>
  <c r="AJ11" i="5"/>
  <c r="AF4" i="5"/>
  <c r="AJ28" i="5"/>
  <c r="AJ5" i="5"/>
  <c r="AF27" i="5"/>
  <c r="AE17" i="5"/>
  <c r="AF3" i="5"/>
  <c r="AJ27" i="5"/>
  <c r="AJ20" i="5"/>
  <c r="AJ14" i="5"/>
  <c r="AF21" i="5"/>
  <c r="AJ13" i="5"/>
  <c r="AF29" i="5"/>
  <c r="AF20" i="5"/>
  <c r="AJ12" i="5"/>
  <c r="AF28" i="5"/>
  <c r="AJ4" i="5"/>
  <c r="AJ3" i="5"/>
  <c r="AE19" i="5"/>
  <c r="AF11" i="5"/>
  <c r="AJ8" i="5"/>
  <c r="AJ25" i="5"/>
  <c r="AJ9" i="5"/>
  <c r="AJ24" i="5"/>
  <c r="AD26" i="3"/>
  <c r="R26" i="3"/>
  <c r="AC26" i="3" s="1"/>
  <c r="AC27" i="3"/>
  <c r="AE27" i="3"/>
  <c r="AD27" i="3"/>
  <c r="Y26" i="3"/>
  <c r="AA26" i="3"/>
  <c r="Z26" i="3"/>
  <c r="R9" i="3"/>
  <c r="Y9" i="3"/>
  <c r="Y12" i="3"/>
  <c r="Y7" i="3"/>
  <c r="Y10" i="3"/>
  <c r="R11" i="3"/>
  <c r="Y5" i="3"/>
  <c r="X9" i="3"/>
  <c r="Y11" i="3"/>
  <c r="R24" i="3"/>
  <c r="X24" i="3"/>
  <c r="Y24" i="3"/>
  <c r="R23" i="3"/>
  <c r="X29" i="3"/>
  <c r="AE26" i="3" s="1"/>
  <c r="Y23" i="3"/>
  <c r="R10" i="3"/>
  <c r="AG5" i="3"/>
  <c r="Y25" i="3"/>
  <c r="R28" i="3"/>
  <c r="Y29" i="3"/>
  <c r="X11" i="3"/>
  <c r="AD7" i="3"/>
  <c r="R29" i="3"/>
  <c r="X23" i="3"/>
  <c r="R25" i="3"/>
  <c r="X28" i="3"/>
  <c r="X25" i="3"/>
  <c r="L75" i="4"/>
  <c r="N75" i="4"/>
  <c r="X10" i="3"/>
  <c r="AD23" i="3"/>
  <c r="AD10" i="3"/>
  <c r="AD9" i="3"/>
  <c r="AD11" i="3"/>
  <c r="AD6" i="3"/>
  <c r="AG10" i="3"/>
  <c r="AG6" i="3"/>
  <c r="AG9" i="3"/>
  <c r="AG8" i="3"/>
  <c r="AG11" i="3"/>
  <c r="AD5" i="3"/>
  <c r="AD8" i="3"/>
  <c r="AG7" i="3"/>
  <c r="AG12" i="3"/>
  <c r="AD12" i="3"/>
  <c r="AD29" i="3"/>
  <c r="AD25" i="3"/>
  <c r="AD24" i="3"/>
  <c r="AD28" i="3"/>
  <c r="AD22" i="3"/>
  <c r="X6" i="3"/>
  <c r="X5" i="3"/>
  <c r="X8" i="3"/>
  <c r="R7" i="3"/>
  <c r="X7" i="3"/>
  <c r="R5" i="3"/>
  <c r="R8" i="3"/>
  <c r="R6" i="3"/>
  <c r="F71" i="2"/>
  <c r="D71" i="2"/>
  <c r="B74" i="2"/>
  <c r="C75" i="2"/>
  <c r="E72" i="2"/>
  <c r="E76" i="2"/>
  <c r="B89" i="2"/>
  <c r="F76" i="2"/>
  <c r="D91" i="2"/>
  <c r="R55" i="2"/>
  <c r="F72" i="2"/>
  <c r="L89" i="2"/>
  <c r="B77" i="2"/>
  <c r="B71" i="2"/>
  <c r="B91" i="2"/>
  <c r="C77" i="2"/>
  <c r="C70" i="2"/>
  <c r="C74" i="2"/>
  <c r="C72" i="2"/>
  <c r="C76" i="2"/>
  <c r="C71" i="2"/>
  <c r="B70" i="2"/>
  <c r="B75" i="2"/>
  <c r="M90" i="2"/>
  <c r="L88" i="2"/>
  <c r="C73" i="2"/>
  <c r="D73" i="2"/>
  <c r="D77" i="2"/>
  <c r="D70" i="2"/>
  <c r="D74" i="2"/>
  <c r="D72" i="2"/>
  <c r="D76" i="2"/>
  <c r="B76" i="2"/>
  <c r="F74" i="2"/>
  <c r="D90" i="2"/>
  <c r="E75" i="2"/>
  <c r="B73" i="2"/>
  <c r="F75" i="2"/>
  <c r="E71" i="2"/>
  <c r="D75" i="2"/>
  <c r="B72" i="2"/>
  <c r="F70" i="2"/>
  <c r="E74" i="2"/>
  <c r="E70" i="2"/>
  <c r="F77" i="2"/>
  <c r="F73" i="2"/>
  <c r="E77" i="2"/>
  <c r="D89" i="2"/>
  <c r="E73" i="2"/>
  <c r="S55" i="2"/>
  <c r="W55" i="2" s="1"/>
  <c r="N55" i="2"/>
  <c r="Z51" i="2" s="1"/>
  <c r="X55" i="2"/>
  <c r="Y55" i="2"/>
  <c r="AD53" i="2" s="1"/>
  <c r="AD54" i="2"/>
  <c r="M88" i="2"/>
  <c r="F90" i="2"/>
  <c r="F91" i="2"/>
  <c r="F89" i="2"/>
  <c r="L90" i="2"/>
  <c r="M89" i="2"/>
  <c r="B90" i="2"/>
  <c r="AE27" i="2"/>
  <c r="AE35" i="2"/>
  <c r="AE32" i="2"/>
  <c r="AE40" i="2"/>
  <c r="AE29" i="2"/>
  <c r="AE37" i="2"/>
  <c r="AE34" i="2"/>
  <c r="AE28" i="2"/>
  <c r="AE36" i="2"/>
  <c r="AE43" i="2"/>
  <c r="AE33" i="2"/>
  <c r="AE42" i="2"/>
  <c r="AE41" i="2"/>
  <c r="AE39" i="2"/>
  <c r="AE38" i="2"/>
  <c r="AE31" i="2"/>
  <c r="AE30" i="2"/>
  <c r="AG42" i="2"/>
  <c r="O63" i="2"/>
  <c r="AG27" i="2"/>
  <c r="AH33" i="2"/>
  <c r="AG35" i="2"/>
  <c r="AG32" i="2"/>
  <c r="AG43" i="2"/>
  <c r="AG29" i="2"/>
  <c r="AG37" i="2"/>
  <c r="AG34" i="2"/>
  <c r="AG31" i="2"/>
  <c r="AG28" i="2"/>
  <c r="O51" i="2"/>
  <c r="R51" i="2"/>
  <c r="C90" i="2" s="1"/>
  <c r="T51" i="2"/>
  <c r="W51" i="2" s="1"/>
  <c r="AC54" i="2" s="1"/>
  <c r="AG41" i="2"/>
  <c r="AF42" i="2"/>
  <c r="AG40" i="2"/>
  <c r="AH30" i="2"/>
  <c r="AH38" i="2"/>
  <c r="AG39" i="2"/>
  <c r="AF29" i="2"/>
  <c r="AF43" i="2"/>
  <c r="AH28" i="2"/>
  <c r="AF32" i="2"/>
  <c r="AG36" i="2"/>
  <c r="AH32" i="2"/>
  <c r="AH40" i="2"/>
  <c r="AF39" i="2"/>
  <c r="AH29" i="2"/>
  <c r="AG33" i="2"/>
  <c r="AF38" i="2"/>
  <c r="AF33" i="2"/>
  <c r="AG30" i="2"/>
  <c r="O69" i="2"/>
  <c r="AH41" i="2"/>
  <c r="AF40" i="2"/>
  <c r="AG38" i="2"/>
  <c r="AH35" i="2"/>
  <c r="AF34" i="2"/>
  <c r="AH43" i="2"/>
  <c r="AH37" i="2"/>
  <c r="AH42" i="2"/>
  <c r="AJ41" i="2"/>
  <c r="AJ40" i="2"/>
  <c r="AH36" i="2"/>
  <c r="AF31" i="2"/>
  <c r="AJ34" i="2"/>
  <c r="AJ31" i="2"/>
  <c r="P65" i="2"/>
  <c r="AF27" i="2"/>
  <c r="AH39" i="2"/>
  <c r="O66" i="2"/>
  <c r="F63" i="2"/>
  <c r="AF37" i="2"/>
  <c r="AH31" i="2"/>
  <c r="O65" i="2"/>
  <c r="AF36" i="2"/>
  <c r="AF41" i="2"/>
  <c r="AF30" i="2"/>
  <c r="AF35" i="2"/>
  <c r="F68" i="2"/>
  <c r="AH34" i="2"/>
  <c r="F67" i="2"/>
  <c r="AH27" i="2"/>
  <c r="AF28" i="2"/>
  <c r="AJ39" i="2"/>
  <c r="AJ38" i="2"/>
  <c r="P69" i="2"/>
  <c r="AJ36" i="2"/>
  <c r="AJ35" i="2"/>
  <c r="AJ33" i="2"/>
  <c r="AJ32" i="2"/>
  <c r="P64" i="2"/>
  <c r="AJ43" i="2"/>
  <c r="AJ37" i="2"/>
  <c r="P63" i="2"/>
  <c r="O64" i="2"/>
  <c r="AJ30" i="2"/>
  <c r="AJ29" i="2"/>
  <c r="AJ28" i="2"/>
  <c r="AJ27" i="2"/>
  <c r="F66" i="2"/>
  <c r="AJ42" i="2"/>
  <c r="F65" i="2"/>
  <c r="F64" i="2"/>
  <c r="F69" i="2"/>
  <c r="P66" i="2"/>
  <c r="E55" i="1"/>
  <c r="D16" i="2" s="1"/>
  <c r="E49" i="1"/>
  <c r="D10" i="2" s="1"/>
  <c r="E59" i="1"/>
  <c r="D20" i="2" s="1"/>
  <c r="E53" i="1"/>
  <c r="D14" i="2" s="1"/>
  <c r="E46" i="1"/>
  <c r="D7" i="2" s="1"/>
  <c r="E57" i="1"/>
  <c r="D18" i="2" s="1"/>
  <c r="E58" i="1"/>
  <c r="D19" i="2" s="1"/>
  <c r="E45" i="1"/>
  <c r="D6" i="2" s="1"/>
  <c r="E54" i="1"/>
  <c r="D15" i="2" s="1"/>
  <c r="B64" i="2"/>
  <c r="E69" i="2"/>
  <c r="E64" i="2"/>
  <c r="B65" i="2"/>
  <c r="C65" i="2"/>
  <c r="D63" i="2"/>
  <c r="C66" i="2"/>
  <c r="B66" i="2"/>
  <c r="D66" i="2"/>
  <c r="C69" i="2"/>
  <c r="D65" i="2"/>
  <c r="E66" i="2"/>
  <c r="D69" i="2"/>
  <c r="B63" i="2"/>
  <c r="C64" i="2"/>
  <c r="C63" i="2"/>
  <c r="B69" i="2"/>
  <c r="E63" i="2"/>
  <c r="D64" i="2"/>
  <c r="E65" i="2"/>
  <c r="AC55" i="2" l="1"/>
  <c r="AC51" i="2"/>
  <c r="AC52" i="2"/>
  <c r="AC53" i="2"/>
  <c r="E91" i="2"/>
  <c r="E89" i="2"/>
  <c r="E90" i="2"/>
  <c r="AL17" i="5"/>
  <c r="AL24" i="5"/>
  <c r="AM6" i="5"/>
  <c r="AM18" i="5"/>
  <c r="AM22" i="5"/>
  <c r="AM3" i="5"/>
  <c r="AM2" i="5"/>
  <c r="AM24" i="5"/>
  <c r="AL19" i="5"/>
  <c r="AL28" i="5"/>
  <c r="AM4" i="5"/>
  <c r="AL4" i="5"/>
  <c r="AM28" i="5"/>
  <c r="AL3" i="5"/>
  <c r="AL20" i="5"/>
  <c r="AM5" i="5"/>
  <c r="AM13" i="5"/>
  <c r="AM20" i="5"/>
  <c r="AM9" i="5"/>
  <c r="AM19" i="5"/>
  <c r="AM8" i="5"/>
  <c r="AM27" i="5"/>
  <c r="AM11" i="5"/>
  <c r="AL12" i="5"/>
  <c r="AM16" i="5"/>
  <c r="AM15" i="5"/>
  <c r="AM29" i="5"/>
  <c r="AM10" i="5"/>
  <c r="AM25" i="5"/>
  <c r="AL2" i="5"/>
  <c r="AL6" i="5"/>
  <c r="AL10" i="5"/>
  <c r="AL14" i="5"/>
  <c r="AL22" i="5"/>
  <c r="AL26" i="5"/>
  <c r="AL11" i="5"/>
  <c r="AL27" i="5"/>
  <c r="AL9" i="5"/>
  <c r="AL7" i="5"/>
  <c r="AL15" i="5"/>
  <c r="AL23" i="5"/>
  <c r="AL13" i="5"/>
  <c r="AM21" i="5"/>
  <c r="AL16" i="5"/>
  <c r="AM26" i="5"/>
  <c r="AL21" i="5"/>
  <c r="AL29" i="5"/>
  <c r="AM14" i="5"/>
  <c r="AL8" i="5"/>
  <c r="AM17" i="5"/>
  <c r="AM7" i="5"/>
  <c r="AL5" i="5"/>
  <c r="AM12" i="5"/>
  <c r="AL18" i="5"/>
  <c r="AM23" i="5"/>
  <c r="AL25" i="5"/>
  <c r="AF26" i="3"/>
  <c r="AF27" i="3"/>
  <c r="AF22" i="3"/>
  <c r="AF7" i="3"/>
  <c r="AC12" i="3"/>
  <c r="AC10" i="3"/>
  <c r="AC9" i="3"/>
  <c r="AF11" i="3"/>
  <c r="AF8" i="3"/>
  <c r="AF10" i="3"/>
  <c r="AF12" i="3"/>
  <c r="AC8" i="3"/>
  <c r="AF6" i="3"/>
  <c r="AC7" i="3"/>
  <c r="AF9" i="3"/>
  <c r="AE10" i="3"/>
  <c r="AE11" i="3"/>
  <c r="AC6" i="3"/>
  <c r="AF5" i="3"/>
  <c r="AC11" i="3"/>
  <c r="AE8" i="3"/>
  <c r="AF28" i="3"/>
  <c r="AF29" i="3"/>
  <c r="AF24" i="3"/>
  <c r="AF23" i="3"/>
  <c r="AE7" i="3"/>
  <c r="AF25" i="3"/>
  <c r="AE5" i="3"/>
  <c r="AE9" i="3"/>
  <c r="AC5" i="3"/>
  <c r="AC24" i="3"/>
  <c r="AH28" i="5"/>
  <c r="AH29" i="5"/>
  <c r="AN29" i="5" s="1"/>
  <c r="AE6" i="3"/>
  <c r="AE12" i="3"/>
  <c r="AE25" i="3"/>
  <c r="AE23" i="3"/>
  <c r="AC25" i="3"/>
  <c r="AE24" i="3"/>
  <c r="AE22" i="3"/>
  <c r="AE29" i="3"/>
  <c r="AE28" i="3"/>
  <c r="AC28" i="3"/>
  <c r="AC29" i="3"/>
  <c r="AC22" i="3"/>
  <c r="AC23" i="3"/>
  <c r="N89" i="2"/>
  <c r="N88" i="2"/>
  <c r="N90" i="2"/>
  <c r="J68" i="2"/>
  <c r="G68" i="2"/>
  <c r="H77" i="2"/>
  <c r="L65" i="2"/>
  <c r="I65" i="2"/>
  <c r="H70" i="2"/>
  <c r="H65" i="2"/>
  <c r="K65" i="2"/>
  <c r="I68" i="2"/>
  <c r="L68" i="2"/>
  <c r="I75" i="2"/>
  <c r="L66" i="2"/>
  <c r="I66" i="2"/>
  <c r="J69" i="2"/>
  <c r="G69" i="2"/>
  <c r="I67" i="2"/>
  <c r="L67" i="2"/>
  <c r="G67" i="2"/>
  <c r="J67" i="2"/>
  <c r="H71" i="2"/>
  <c r="J66" i="2"/>
  <c r="G66" i="2"/>
  <c r="G71" i="2"/>
  <c r="H76" i="2"/>
  <c r="K64" i="2"/>
  <c r="H64" i="2"/>
  <c r="H66" i="2"/>
  <c r="K66" i="2"/>
  <c r="H74" i="2"/>
  <c r="I76" i="2"/>
  <c r="H67" i="2"/>
  <c r="K67" i="2"/>
  <c r="H75" i="2"/>
  <c r="G76" i="2"/>
  <c r="H72" i="2"/>
  <c r="H63" i="2"/>
  <c r="K63" i="2"/>
  <c r="G65" i="2"/>
  <c r="J65" i="2"/>
  <c r="G72" i="2"/>
  <c r="G75" i="2"/>
  <c r="L64" i="2"/>
  <c r="I64" i="2"/>
  <c r="J64" i="2"/>
  <c r="G64" i="2"/>
  <c r="K68" i="2"/>
  <c r="H68" i="2"/>
  <c r="I77" i="2"/>
  <c r="I70" i="2"/>
  <c r="I72" i="2"/>
  <c r="G74" i="2"/>
  <c r="H73" i="2"/>
  <c r="G70" i="2"/>
  <c r="H69" i="2"/>
  <c r="K69" i="2"/>
  <c r="I73" i="2"/>
  <c r="L63" i="2"/>
  <c r="I63" i="2"/>
  <c r="H90" i="2"/>
  <c r="G73" i="2"/>
  <c r="I74" i="2"/>
  <c r="G63" i="2"/>
  <c r="J63" i="2"/>
  <c r="I69" i="2"/>
  <c r="L69" i="2"/>
  <c r="G77" i="2"/>
  <c r="I71" i="2"/>
  <c r="AD52" i="2"/>
  <c r="C91" i="2"/>
  <c r="AA52" i="2"/>
  <c r="AA55" i="2"/>
  <c r="AA53" i="2"/>
  <c r="C89" i="2"/>
  <c r="G89" i="2" s="1"/>
  <c r="AA51" i="2"/>
  <c r="H91" i="2"/>
  <c r="AA54" i="2"/>
  <c r="Z54" i="2"/>
  <c r="Z53" i="2"/>
  <c r="Z52" i="2"/>
  <c r="Z55" i="2"/>
  <c r="AD51" i="2"/>
  <c r="AD55" i="2"/>
  <c r="AB54" i="2"/>
  <c r="AB51" i="2"/>
  <c r="AB52" i="2"/>
  <c r="AB53" i="2"/>
  <c r="AB55" i="2"/>
  <c r="I89" i="2"/>
  <c r="H89" i="2"/>
  <c r="G90" i="2"/>
  <c r="I91" i="2"/>
  <c r="I90" i="2"/>
  <c r="Q63" i="2"/>
  <c r="Q69" i="2"/>
  <c r="Q68" i="2"/>
  <c r="Q67" i="2"/>
  <c r="Q66" i="2"/>
  <c r="Q65" i="2"/>
  <c r="Q64" i="2"/>
  <c r="AO29" i="5" l="1"/>
  <c r="AN2" i="5"/>
  <c r="AO2" i="5" s="1"/>
  <c r="AN14" i="5"/>
  <c r="AN22" i="5"/>
  <c r="AO22" i="5" s="1"/>
  <c r="AN3" i="5"/>
  <c r="AO3" i="5" s="1"/>
  <c r="AN7" i="5"/>
  <c r="AO7" i="5" s="1"/>
  <c r="AN11" i="5"/>
  <c r="AN15" i="5"/>
  <c r="AO15" i="5" s="1"/>
  <c r="AN19" i="5"/>
  <c r="AO19" i="5" s="1"/>
  <c r="AN23" i="5"/>
  <c r="AO23" i="5" s="1"/>
  <c r="AN27" i="5"/>
  <c r="AN4" i="5"/>
  <c r="AN8" i="5"/>
  <c r="AO8" i="5" s="1"/>
  <c r="AN12" i="5"/>
  <c r="AO12" i="5" s="1"/>
  <c r="AN16" i="5"/>
  <c r="AO16" i="5" s="1"/>
  <c r="AN20" i="5"/>
  <c r="AN24" i="5"/>
  <c r="AO24" i="5" s="1"/>
  <c r="AN28" i="5"/>
  <c r="AO28" i="5" s="1"/>
  <c r="AN5" i="5"/>
  <c r="AO5" i="5" s="1"/>
  <c r="AN9" i="5"/>
  <c r="AO9" i="5" s="1"/>
  <c r="AN13" i="5"/>
  <c r="AO13" i="5" s="1"/>
  <c r="AN17" i="5"/>
  <c r="AO17" i="5" s="1"/>
  <c r="AN21" i="5"/>
  <c r="AN25" i="5"/>
  <c r="AO25" i="5" s="1"/>
  <c r="AN6" i="5"/>
  <c r="AO6" i="5" s="1"/>
  <c r="AN10" i="5"/>
  <c r="AN18" i="5"/>
  <c r="AO18" i="5" s="1"/>
  <c r="AN26" i="5"/>
  <c r="AO26" i="5" s="1"/>
  <c r="G91" i="2"/>
  <c r="AP16" i="5" l="1"/>
  <c r="AP26" i="5"/>
  <c r="AP6" i="5"/>
  <c r="AP15" i="5"/>
  <c r="AO10" i="5"/>
  <c r="AP10" i="5" s="1"/>
  <c r="AO11" i="5"/>
  <c r="AO14" i="5"/>
  <c r="AO20" i="5"/>
  <c r="AO21" i="5"/>
  <c r="AO4" i="5"/>
  <c r="AP4" i="5" s="1"/>
  <c r="AO27" i="5"/>
  <c r="AP27" i="5" s="1"/>
  <c r="AP24" i="5" l="1"/>
  <c r="AP21" i="5"/>
  <c r="AP14" i="5"/>
  <c r="AP23" i="5"/>
  <c r="AP5" i="5"/>
  <c r="AP12" i="5"/>
  <c r="AP9" i="5"/>
  <c r="AP28" i="5"/>
  <c r="AP22" i="5"/>
  <c r="AP7" i="5"/>
  <c r="AP19" i="5"/>
  <c r="AP8" i="5"/>
  <c r="AP25" i="5"/>
  <c r="AP2" i="5"/>
  <c r="AP13" i="5"/>
  <c r="AP3" i="5"/>
  <c r="AP20" i="5"/>
  <c r="AP11" i="5"/>
  <c r="AP29" i="5"/>
  <c r="AP17" i="5"/>
  <c r="AP18" i="5"/>
</calcChain>
</file>

<file path=xl/sharedStrings.xml><?xml version="1.0" encoding="utf-8"?>
<sst xmlns="http://schemas.openxmlformats.org/spreadsheetml/2006/main" count="952" uniqueCount="282">
  <si>
    <t>level1</t>
    <phoneticPr fontId="1" type="noConversion"/>
  </si>
  <si>
    <t>level2</t>
    <phoneticPr fontId="1" type="noConversion"/>
  </si>
  <si>
    <t>單</t>
    <phoneticPr fontId="1" type="noConversion"/>
  </si>
  <si>
    <t>雙</t>
    <phoneticPr fontId="1" type="noConversion"/>
  </si>
  <si>
    <t>前輪</t>
    <phoneticPr fontId="1" type="noConversion"/>
  </si>
  <si>
    <t>後輪</t>
    <phoneticPr fontId="1" type="noConversion"/>
  </si>
  <si>
    <t>大</t>
    <phoneticPr fontId="1" type="noConversion"/>
  </si>
  <si>
    <t>小</t>
    <phoneticPr fontId="1" type="noConversion"/>
  </si>
  <si>
    <t>測試組合</t>
    <phoneticPr fontId="1" type="noConversion"/>
  </si>
  <si>
    <t>3(1+2)</t>
    <phoneticPr fontId="1" type="noConversion"/>
  </si>
  <si>
    <t>5(1+4)</t>
    <phoneticPr fontId="1" type="noConversion"/>
  </si>
  <si>
    <t>6(2+4)</t>
    <phoneticPr fontId="1" type="noConversion"/>
  </si>
  <si>
    <t>9(1+8)</t>
    <phoneticPr fontId="1" type="noConversion"/>
  </si>
  <si>
    <t>11(1+10)</t>
    <phoneticPr fontId="1" type="noConversion"/>
  </si>
  <si>
    <t>13(1+12)</t>
    <phoneticPr fontId="1" type="noConversion"/>
  </si>
  <si>
    <t>14(1+15)</t>
    <phoneticPr fontId="1" type="noConversion"/>
  </si>
  <si>
    <t>1:2</t>
    <phoneticPr fontId="1" type="noConversion"/>
  </si>
  <si>
    <t>1:1</t>
    <phoneticPr fontId="1" type="noConversion"/>
  </si>
  <si>
    <t>動力驅動位置</t>
    <phoneticPr fontId="1" type="noConversion"/>
  </si>
  <si>
    <t>7(8+15)</t>
    <phoneticPr fontId="1" type="noConversion"/>
  </si>
  <si>
    <t>變動因子</t>
    <phoneticPr fontId="1" type="noConversion"/>
  </si>
  <si>
    <t>測試結果</t>
    <phoneticPr fontId="1" type="noConversion"/>
  </si>
  <si>
    <t>Y1</t>
    <phoneticPr fontId="1" type="noConversion"/>
  </si>
  <si>
    <t>Y2</t>
    <phoneticPr fontId="1" type="noConversion"/>
  </si>
  <si>
    <t>Y3</t>
    <phoneticPr fontId="1" type="noConversion"/>
  </si>
  <si>
    <t>Y4</t>
    <phoneticPr fontId="1" type="noConversion"/>
  </si>
  <si>
    <t>Y5</t>
    <phoneticPr fontId="1" type="noConversion"/>
  </si>
  <si>
    <t>Y6</t>
    <phoneticPr fontId="1" type="noConversion"/>
  </si>
  <si>
    <t>Y7</t>
    <phoneticPr fontId="1" type="noConversion"/>
  </si>
  <si>
    <t>Y8</t>
    <phoneticPr fontId="1" type="noConversion"/>
  </si>
  <si>
    <t>負重0g</t>
  </si>
  <si>
    <t>負重0g</t>
    <phoneticPr fontId="1" type="noConversion"/>
  </si>
  <si>
    <t>負重50g</t>
  </si>
  <si>
    <t>負重50g</t>
    <phoneticPr fontId="1" type="noConversion"/>
  </si>
  <si>
    <t>負重100g</t>
    <phoneticPr fontId="1" type="noConversion"/>
  </si>
  <si>
    <t>負重150g</t>
  </si>
  <si>
    <t>負重150g</t>
    <phoneticPr fontId="1" type="noConversion"/>
  </si>
  <si>
    <t>結果平均</t>
    <phoneticPr fontId="1" type="noConversion"/>
  </si>
  <si>
    <t>總平均</t>
    <phoneticPr fontId="1" type="noConversion"/>
  </si>
  <si>
    <t>利用齒輪傳動(L16)</t>
    <phoneticPr fontId="1" type="noConversion"/>
  </si>
  <si>
    <t>Orthogonal array(L16)</t>
    <phoneticPr fontId="1" type="noConversion"/>
  </si>
  <si>
    <t>無齒輪(動力直接連動輪子)(L4)</t>
    <phoneticPr fontId="1" type="noConversion"/>
  </si>
  <si>
    <t>Orthogonal array(L4)</t>
    <phoneticPr fontId="1" type="noConversion"/>
  </si>
  <si>
    <t>無齒輪</t>
    <phoneticPr fontId="1" type="noConversion"/>
  </si>
  <si>
    <t>含齒輪</t>
    <phoneticPr fontId="1" type="noConversion"/>
  </si>
  <si>
    <t>單</t>
  </si>
  <si>
    <t>雙</t>
  </si>
  <si>
    <t>輪子厚度</t>
  </si>
  <si>
    <t>輪子厚度</t>
    <phoneticPr fontId="1" type="noConversion"/>
  </si>
  <si>
    <t>3輪</t>
  </si>
  <si>
    <t>3輪</t>
    <phoneticPr fontId="1" type="noConversion"/>
  </si>
  <si>
    <t>4輪</t>
  </si>
  <si>
    <t>4輪</t>
    <phoneticPr fontId="1" type="noConversion"/>
  </si>
  <si>
    <t>變動因子</t>
  </si>
  <si>
    <t>測試組合</t>
  </si>
  <si>
    <t>Y1</t>
  </si>
  <si>
    <t>Y2</t>
  </si>
  <si>
    <t>Y6</t>
  </si>
  <si>
    <t>Y7</t>
  </si>
  <si>
    <t>Y8</t>
  </si>
  <si>
    <t>負重100g</t>
  </si>
  <si>
    <t>1:1</t>
  </si>
  <si>
    <t>齒輪數量</t>
  </si>
  <si>
    <t>齒輪數量</t>
    <phoneticPr fontId="1" type="noConversion"/>
  </si>
  <si>
    <t>3個</t>
  </si>
  <si>
    <t>3個</t>
    <phoneticPr fontId="1" type="noConversion"/>
  </si>
  <si>
    <t>2個</t>
  </si>
  <si>
    <t>前輪直徑</t>
  </si>
  <si>
    <t>前輪直徑</t>
    <phoneticPr fontId="1" type="noConversion"/>
  </si>
  <si>
    <t>後輪直徑</t>
  </si>
  <si>
    <t>後輪直徑</t>
    <phoneticPr fontId="1" type="noConversion"/>
  </si>
  <si>
    <t>傳動比(兩個齒輪尺數差)</t>
  </si>
  <si>
    <t>輪子數</t>
  </si>
  <si>
    <t>輪子數</t>
    <phoneticPr fontId="1" type="noConversion"/>
  </si>
  <si>
    <t>1:2</t>
  </si>
  <si>
    <t>齒輪單雙邊</t>
    <phoneticPr fontId="1" type="noConversion"/>
  </si>
  <si>
    <t>大(45mm)</t>
  </si>
  <si>
    <t>大(45mm)</t>
    <phoneticPr fontId="1" type="noConversion"/>
  </si>
  <si>
    <t>小(35mm)</t>
  </si>
  <si>
    <t>小(35mm)</t>
    <phoneticPr fontId="1" type="noConversion"/>
  </si>
  <si>
    <t>單(3.5mm)</t>
  </si>
  <si>
    <t>單(3.5mm)</t>
    <phoneticPr fontId="1" type="noConversion"/>
  </si>
  <si>
    <t>雙(7mm)</t>
  </si>
  <si>
    <t>雙(7mm)</t>
    <phoneticPr fontId="1" type="noConversion"/>
  </si>
  <si>
    <t>空車特別歪</t>
    <phoneticPr fontId="1" type="noConversion"/>
  </si>
  <si>
    <t>前一天測試</t>
    <phoneticPr fontId="1" type="noConversion"/>
  </si>
  <si>
    <t>後輪單輪</t>
    <phoneticPr fontId="1" type="noConversion"/>
  </si>
  <si>
    <t>負重0g第三次測試</t>
    <phoneticPr fontId="1" type="noConversion"/>
  </si>
  <si>
    <r>
      <t>測試結果(車子跑動距離)</t>
    </r>
    <r>
      <rPr>
        <sz val="12"/>
        <color rgb="FFFF0000"/>
        <rFont val="新細明體"/>
        <family val="1"/>
        <charset val="136"/>
        <scheme val="minor"/>
      </rPr>
      <t>(紅字表示彈簧繩未完全收起)</t>
    </r>
    <phoneticPr fontId="1" type="noConversion"/>
  </si>
  <si>
    <t>Y9</t>
    <phoneticPr fontId="1" type="noConversion"/>
  </si>
  <si>
    <t>平均值</t>
    <phoneticPr fontId="1" type="noConversion"/>
  </si>
  <si>
    <t>全部平均</t>
    <phoneticPr fontId="1" type="noConversion"/>
  </si>
  <si>
    <t>標準差</t>
    <phoneticPr fontId="1" type="noConversion"/>
  </si>
  <si>
    <t>Δ=∣Mean(Level 1)−Mean(Level 2)∣</t>
  </si>
  <si>
    <t>全部標準差</t>
    <phoneticPr fontId="1" type="noConversion"/>
  </si>
  <si>
    <t>影響程度</t>
    <phoneticPr fontId="1" type="noConversion"/>
  </si>
  <si>
    <t>(線有完全收完的比例)</t>
    <phoneticPr fontId="1" type="noConversion"/>
  </si>
  <si>
    <t>完成度</t>
    <phoneticPr fontId="1" type="noConversion"/>
  </si>
  <si>
    <t>驅動輪半徑大小</t>
    <phoneticPr fontId="1" type="noConversion"/>
  </si>
  <si>
    <t>影響「標準差」最嚴重的因子排名</t>
    <phoneticPr fontId="1" type="noConversion"/>
  </si>
  <si>
    <t>影響「平均」最嚴重的因子排名</t>
    <phoneticPr fontId="1" type="noConversion"/>
  </si>
  <si>
    <t>假設沒有交互作用，透過以下公式計算下表，可看出level1、2對實驗的影響程度</t>
    <phoneticPr fontId="1" type="noConversion"/>
  </si>
  <si>
    <t>若有level1組合的平均值和有level2組合的平均值差越多，表示此變因影響數據重大</t>
    <phoneticPr fontId="1" type="noConversion"/>
  </si>
  <si>
    <t>齒輪單雙側傳動給輪子</t>
    <phoneticPr fontId="1" type="noConversion"/>
  </si>
  <si>
    <t>排名</t>
    <phoneticPr fontId="1" type="noConversion"/>
  </si>
  <si>
    <r>
      <t>車子移動距離測試結果(cm)</t>
    </r>
    <r>
      <rPr>
        <sz val="12"/>
        <color rgb="FFFF0000"/>
        <rFont val="新細明體"/>
        <family val="1"/>
        <charset val="136"/>
        <scheme val="major"/>
      </rPr>
      <t>(紅字表示彈簧繩未完全收起)</t>
    </r>
    <phoneticPr fontId="1" type="noConversion"/>
  </si>
  <si>
    <t>等實驗分析後再決定是否要測試這個...</t>
    <phoneticPr fontId="1" type="noConversion"/>
  </si>
  <si>
    <t>S/N ration</t>
  </si>
  <si>
    <t>S/N ration</t>
    <phoneticPr fontId="1" type="noConversion"/>
  </si>
  <si>
    <t>S/N ratio</t>
    <phoneticPr fontId="1" type="noConversion"/>
  </si>
  <si>
    <t>Factor</t>
    <phoneticPr fontId="1" type="noConversion"/>
  </si>
  <si>
    <t>Level1</t>
    <phoneticPr fontId="1" type="noConversion"/>
  </si>
  <si>
    <t>Level2</t>
    <phoneticPr fontId="1" type="noConversion"/>
  </si>
  <si>
    <t>Difference</t>
    <phoneticPr fontId="1" type="noConversion"/>
  </si>
  <si>
    <t>最佳組合</t>
    <phoneticPr fontId="1" type="noConversion"/>
  </si>
  <si>
    <t>.</t>
    <phoneticPr fontId="1" type="noConversion"/>
  </si>
  <si>
    <t>兩個齒輪後輪會是驅動輪</t>
    <phoneticPr fontId="1" type="noConversion"/>
  </si>
  <si>
    <t>完成度(紅色為成功率低)</t>
    <phoneticPr fontId="1" type="noConversion"/>
  </si>
  <si>
    <t>2個(後驅)</t>
    <phoneticPr fontId="1" type="noConversion"/>
  </si>
  <si>
    <t>3個(前驅)</t>
    <phoneticPr fontId="1" type="noConversion"/>
  </si>
  <si>
    <t>全負重S/N ratio</t>
    <phoneticPr fontId="1" type="noConversion"/>
  </si>
  <si>
    <t>變因</t>
    <phoneticPr fontId="1" type="noConversion"/>
  </si>
  <si>
    <t>排行(黃色格表示排行前三名)</t>
    <phoneticPr fontId="1" type="noConversion"/>
  </si>
  <si>
    <t>平均值(高於平均以橘色標示)</t>
    <phoneticPr fontId="1" type="noConversion"/>
  </si>
  <si>
    <t>標準差(低於平均以橘色標示)</t>
    <phoneticPr fontId="1" type="noConversion"/>
  </si>
  <si>
    <t>全部負重</t>
    <phoneticPr fontId="1" type="noConversion"/>
  </si>
  <si>
    <t>負重0g平均值</t>
    <phoneticPr fontId="1" type="noConversion"/>
  </si>
  <si>
    <t>負重0g標準差</t>
    <phoneticPr fontId="1" type="noConversion"/>
  </si>
  <si>
    <t>後輪</t>
  </si>
  <si>
    <t>大</t>
  </si>
  <si>
    <t>小</t>
  </si>
  <si>
    <t>前輪</t>
  </si>
  <si>
    <t>驅動位置</t>
    <phoneticPr fontId="1" type="noConversion"/>
  </si>
  <si>
    <t>非驅動輪半徑</t>
    <phoneticPr fontId="1" type="noConversion"/>
  </si>
  <si>
    <t>驅動輪半徑</t>
    <phoneticPr fontId="1" type="noConversion"/>
  </si>
  <si>
    <t>全部平均值</t>
    <phoneticPr fontId="1" type="noConversion"/>
  </si>
  <si>
    <t>偏移格數</t>
    <phoneticPr fontId="1" type="noConversion"/>
  </si>
  <si>
    <t>空車超過兩格歪斜</t>
    <phoneticPr fontId="1" type="noConversion"/>
  </si>
  <si>
    <t>排行(黃色格表示最高值)</t>
    <phoneticPr fontId="1" type="noConversion"/>
  </si>
  <si>
    <t>平均值(最高值以橘色標示)</t>
    <phoneticPr fontId="1" type="noConversion"/>
  </si>
  <si>
    <t>標準差(最低值以橘色標示)</t>
    <phoneticPr fontId="1" type="noConversion"/>
  </si>
  <si>
    <t>S/N ration(最高值以橘色表示)</t>
    <phoneticPr fontId="1" type="noConversion"/>
  </si>
  <si>
    <t>S/N ration(高於平均以橘色表示)</t>
    <phoneticPr fontId="1" type="noConversion"/>
  </si>
  <si>
    <r>
      <t>車子移動距離測試結果(cm)</t>
    </r>
    <r>
      <rPr>
        <sz val="12"/>
        <color rgb="FFFF0000"/>
        <rFont val="新細明體"/>
        <family val="1"/>
        <charset val="136"/>
        <scheme val="major"/>
      </rPr>
      <t>(紅字表示歪斜兩格以上)</t>
    </r>
    <r>
      <rPr>
        <sz val="12"/>
        <color theme="1"/>
        <rFont val="新細明體"/>
        <family val="1"/>
        <charset val="136"/>
        <scheme val="major"/>
      </rPr>
      <t>(以上數據皆有跑完)</t>
    </r>
    <phoneticPr fontId="1" type="noConversion"/>
  </si>
  <si>
    <t>有齒輪</t>
    <phoneticPr fontId="1" type="noConversion"/>
  </si>
  <si>
    <t>傳動比</t>
    <phoneticPr fontId="1" type="noConversion"/>
  </si>
  <si>
    <t>影響「S/N ratio」最嚴重因子排名</t>
    <phoneticPr fontId="1" type="noConversion"/>
  </si>
  <si>
    <t>&lt;傳動比&gt;和&lt;齒輪單雙邊&gt;交互關係</t>
    <phoneticPr fontId="1" type="noConversion"/>
  </si>
  <si>
    <t>&lt;傳動比&gt;和&lt;輪子厚度&gt;交互關係</t>
  </si>
  <si>
    <t>&lt;齒輪單雙側傳動給輪子&gt;和&lt;齒輪數量&gt;交互關係</t>
  </si>
  <si>
    <t>&lt;輪子數&gt;和&lt;輪子厚度&gt;交互關係</t>
  </si>
  <si>
    <t>&lt;傳動比&gt;和&lt;前輪直徑&gt;交互關係</t>
  </si>
  <si>
    <t>&lt;傳動比&gt;和&lt;後輪直徑&gt;交互關係</t>
  </si>
  <si>
    <t>&lt;傳動比&gt;和&lt;齒輪數量&gt;交互關係</t>
  </si>
  <si>
    <t>全體排名</t>
    <phoneticPr fontId="1" type="noConversion"/>
  </si>
  <si>
    <t>個別因素排名</t>
    <phoneticPr fontId="1" type="noConversion"/>
  </si>
  <si>
    <t>平均值(高於平均以橘色標示)</t>
  </si>
  <si>
    <t>標準差(低於平均以橘色標示)</t>
  </si>
  <si>
    <t>S/N ration(高於平均以橘色表示)</t>
  </si>
  <si>
    <t>完成度(紅色為成功率低)</t>
  </si>
  <si>
    <t>全部平均值</t>
  </si>
  <si>
    <t>全部標準差</t>
  </si>
  <si>
    <t>全部負重</t>
  </si>
  <si>
    <t>(線有完全收完的比例)</t>
  </si>
  <si>
    <t>Y3</t>
  </si>
  <si>
    <t>Y4</t>
  </si>
  <si>
    <t>Y5</t>
  </si>
  <si>
    <t>Y9</t>
  </si>
  <si>
    <t>有無軸承</t>
    <phoneticPr fontId="1" type="noConversion"/>
  </si>
  <si>
    <t>有</t>
    <phoneticPr fontId="1" type="noConversion"/>
  </si>
  <si>
    <t>無</t>
    <phoneticPr fontId="1" type="noConversion"/>
  </si>
  <si>
    <t>有無齒輪</t>
    <phoneticPr fontId="1" type="noConversion"/>
  </si>
  <si>
    <t>側向偏移</t>
    <phoneticPr fontId="1" type="noConversion"/>
  </si>
  <si>
    <t>直線前進距離</t>
    <phoneticPr fontId="1" type="noConversion"/>
  </si>
  <si>
    <t>平均值(低於平均以橘色標示)</t>
    <phoneticPr fontId="1" type="noConversion"/>
  </si>
  <si>
    <t>有負重平均值</t>
    <phoneticPr fontId="1" type="noConversion"/>
  </si>
  <si>
    <t>有負重標準差</t>
    <phoneticPr fontId="1" type="noConversion"/>
  </si>
  <si>
    <t>歪斜小於40cm</t>
    <phoneticPr fontId="1" type="noConversion"/>
  </si>
  <si>
    <t>(紅色為嚴重歪斜)</t>
    <phoneticPr fontId="1" type="noConversion"/>
  </si>
  <si>
    <r>
      <t>車子移動側向偏移測試結果(cm)</t>
    </r>
    <r>
      <rPr>
        <sz val="12"/>
        <color rgb="FFFF0000"/>
        <rFont val="新細明體"/>
        <family val="1"/>
        <charset val="136"/>
        <scheme val="major"/>
      </rPr>
      <t>(紅色為嚴重歪斜超過40cm)</t>
    </r>
    <phoneticPr fontId="1" type="noConversion"/>
  </si>
  <si>
    <r>
      <t>車子移動直線距離測試結果(cm)</t>
    </r>
    <r>
      <rPr>
        <sz val="12"/>
        <color rgb="FFFF0000"/>
        <rFont val="新細明體"/>
        <family val="1"/>
        <charset val="136"/>
        <scheme val="major"/>
      </rPr>
      <t>(紅字表示彈簧繩未完全收起)</t>
    </r>
    <phoneticPr fontId="1" type="noConversion"/>
  </si>
  <si>
    <t>排行(黃色格表示最優組合)</t>
    <phoneticPr fontId="1" type="noConversion"/>
  </si>
  <si>
    <t>(有齒輪為第一階段第一張表的最佳組合)</t>
    <phoneticPr fontId="1" type="noConversion"/>
  </si>
  <si>
    <t>(沒齒輪為第一階段第二張表的最佳組合)</t>
  </si>
  <si>
    <t>&lt;傳動比&gt;和&lt;輪子數&gt;交互關係</t>
    <phoneticPr fontId="1" type="noConversion"/>
  </si>
  <si>
    <t>有無主板</t>
    <phoneticPr fontId="1" type="noConversion"/>
  </si>
  <si>
    <t>S/N ration(低於平均以橘色表示)</t>
    <phoneticPr fontId="1" type="noConversion"/>
  </si>
  <si>
    <t>平均</t>
    <phoneticPr fontId="1" type="noConversion"/>
  </si>
  <si>
    <t>6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</si>
  <si>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</si>
  <si>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</si>
  <si>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</si>
  <si>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</si>
  <si>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</si>
  <si>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</si>
  <si>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</si>
  <si>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</si>
  <si>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</si>
  <si>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</si>
  <si>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</si>
  <si>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拉線長度</t>
    <phoneticPr fontId="1" type="noConversion"/>
  </si>
  <si>
    <t>(點下面這三個觀看單獨數據或全選)</t>
    <phoneticPr fontId="1" type="noConversion"/>
  </si>
  <si>
    <t>標準差平均</t>
    <phoneticPr fontId="1" type="noConversion"/>
  </si>
  <si>
    <t>負重</t>
    <phoneticPr fontId="1" type="noConversion"/>
  </si>
  <si>
    <t>表二L4無齒輪數據</t>
    <phoneticPr fontId="1" type="noConversion"/>
  </si>
  <si>
    <t>表一有齒輪L16數據</t>
    <phoneticPr fontId="1" type="noConversion"/>
  </si>
  <si>
    <t>表一有齒輪L16分析</t>
    <phoneticPr fontId="1" type="noConversion"/>
  </si>
  <si>
    <t>表二無齒輪L4分析</t>
    <phoneticPr fontId="1" type="noConversion"/>
  </si>
  <si>
    <t>有負重平均</t>
    <phoneticPr fontId="1" type="noConversion"/>
  </si>
  <si>
    <t>全部標準差平均</t>
    <phoneticPr fontId="1" type="noConversion"/>
  </si>
  <si>
    <t>負重0g(1)</t>
    <phoneticPr fontId="1" type="noConversion"/>
  </si>
  <si>
    <t>負重0g(2)</t>
    <phoneticPr fontId="1" type="noConversion"/>
  </si>
  <si>
    <t>負重0g(3)</t>
    <phoneticPr fontId="1" type="noConversion"/>
  </si>
  <si>
    <t>負重50g(1)</t>
    <phoneticPr fontId="1" type="noConversion"/>
  </si>
  <si>
    <t>負重50g(2)</t>
    <phoneticPr fontId="1" type="noConversion"/>
  </si>
  <si>
    <t>負重100g(1)</t>
    <phoneticPr fontId="1" type="noConversion"/>
  </si>
  <si>
    <t>負重100g(2)</t>
    <phoneticPr fontId="1" type="noConversion"/>
  </si>
  <si>
    <t>負重150g(1)</t>
    <phoneticPr fontId="1" type="noConversion"/>
  </si>
  <si>
    <t>負重150g(2)</t>
    <phoneticPr fontId="1" type="noConversion"/>
  </si>
  <si>
    <t>平均值0g</t>
    <phoneticPr fontId="1" type="noConversion"/>
  </si>
  <si>
    <t>平均值50g</t>
    <phoneticPr fontId="1" type="noConversion"/>
  </si>
  <si>
    <t>平均值100g</t>
    <phoneticPr fontId="1" type="noConversion"/>
  </si>
  <si>
    <t>平均值150g</t>
    <phoneticPr fontId="1" type="noConversion"/>
  </si>
  <si>
    <t>標準差0g</t>
    <phoneticPr fontId="1" type="noConversion"/>
  </si>
  <si>
    <t>標準差50g</t>
    <phoneticPr fontId="1" type="noConversion"/>
  </si>
  <si>
    <t>標準差100g</t>
    <phoneticPr fontId="1" type="noConversion"/>
  </si>
  <si>
    <t>標準差150g</t>
    <phoneticPr fontId="1" type="noConversion"/>
  </si>
  <si>
    <t>SN ratio 0g</t>
    <phoneticPr fontId="1" type="noConversion"/>
  </si>
  <si>
    <t>全部負重SN ratio</t>
    <phoneticPr fontId="1" type="noConversion"/>
  </si>
  <si>
    <t>齒輪單雙側傳動</t>
    <phoneticPr fontId="1" type="noConversion"/>
  </si>
  <si>
    <t>前驅</t>
    <phoneticPr fontId="1" type="noConversion"/>
  </si>
  <si>
    <t>後驅</t>
    <phoneticPr fontId="1" type="noConversion"/>
  </si>
  <si>
    <t>有負重標準差平均</t>
    <phoneticPr fontId="1" type="noConversion"/>
  </si>
  <si>
    <t>有負重平均排名</t>
    <phoneticPr fontId="1" type="noConversion"/>
  </si>
  <si>
    <t>全部平均排名</t>
    <phoneticPr fontId="1" type="noConversion"/>
  </si>
  <si>
    <t>有負重標準差排名</t>
    <phoneticPr fontId="1" type="noConversion"/>
  </si>
  <si>
    <t>全部標準差排名</t>
    <phoneticPr fontId="1" type="noConversion"/>
  </si>
  <si>
    <t>全部SN ratio 排名</t>
    <phoneticPr fontId="1" type="noConversion"/>
  </si>
  <si>
    <t>綜合排名</t>
    <phoneticPr fontId="1" type="noConversion"/>
  </si>
  <si>
    <t>最佳組合(17)</t>
    <phoneticPr fontId="1" type="noConversion"/>
  </si>
  <si>
    <t>最佳組合(22)</t>
    <phoneticPr fontId="1" type="noConversion"/>
  </si>
  <si>
    <t>列標籤</t>
  </si>
  <si>
    <t>總計</t>
  </si>
  <si>
    <t>平均值 - 全部平均值</t>
  </si>
  <si>
    <t>平均值 - 全部標準差平均</t>
  </si>
  <si>
    <t>50g</t>
    <phoneticPr fontId="1" type="noConversion"/>
  </si>
  <si>
    <t>100g</t>
    <phoneticPr fontId="1" type="noConversion"/>
  </si>
  <si>
    <t>150g</t>
    <phoneticPr fontId="1" type="noConversion"/>
  </si>
  <si>
    <t>考試分數預測(滿分60)</t>
    <phoneticPr fontId="1" type="noConversion"/>
  </si>
  <si>
    <t>(假設平均值為目標距離，一個標準差為直線偏移，側向偏移低於20不扣分)</t>
    <phoneticPr fontId="1" type="noConversion"/>
  </si>
  <si>
    <t>(善用隱藏功能收起部分欄位，及利用第一橫列的排序功能)</t>
    <phoneticPr fontId="1" type="noConversion"/>
  </si>
  <si>
    <t>綜合排名平均</t>
    <phoneticPr fontId="1" type="noConversion"/>
  </si>
  <si>
    <t>(舊地版的數據)</t>
    <phoneticPr fontId="1" type="noConversion"/>
  </si>
  <si>
    <r>
      <t>y = 4.9702x</t>
    </r>
    <r>
      <rPr>
        <vertAlign val="superscript"/>
        <sz val="12"/>
        <color rgb="FF000000"/>
        <rFont val="新細明體"/>
        <family val="1"/>
        <charset val="136"/>
        <scheme val="minor"/>
      </rPr>
      <t>2</t>
    </r>
    <r>
      <rPr>
        <sz val="12"/>
        <color rgb="FF000000"/>
        <rFont val="新細明體"/>
        <family val="1"/>
        <charset val="136"/>
        <scheme val="minor"/>
      </rPr>
      <t xml:space="preserve"> - 29.846x + 380.88</t>
    </r>
  </si>
  <si>
    <r>
      <t>y = 5.5476x</t>
    </r>
    <r>
      <rPr>
        <vertAlign val="superscript"/>
        <sz val="12"/>
        <color rgb="FF000000"/>
        <rFont val="新細明體"/>
        <family val="1"/>
        <charset val="136"/>
        <scheme val="minor"/>
      </rPr>
      <t>2</t>
    </r>
    <r>
      <rPr>
        <sz val="12"/>
        <color rgb="FF000000"/>
        <rFont val="新細明體"/>
        <family val="1"/>
        <charset val="136"/>
        <scheme val="minor"/>
      </rPr>
      <t xml:space="preserve"> - 42.31x + 390.48</t>
    </r>
  </si>
  <si>
    <t>直線距離</t>
    <phoneticPr fontId="1" type="noConversion"/>
  </si>
  <si>
    <t>拉線長度據估表</t>
    <phoneticPr fontId="1" type="noConversion"/>
  </si>
  <si>
    <r>
      <t>y = 5.7143x</t>
    </r>
    <r>
      <rPr>
        <vertAlign val="superscript"/>
        <sz val="12"/>
        <color rgb="FF000000"/>
        <rFont val="新細明體"/>
        <family val="1"/>
        <charset val="136"/>
        <scheme val="minor"/>
      </rPr>
      <t>2</t>
    </r>
    <r>
      <rPr>
        <sz val="12"/>
        <color rgb="FF000000"/>
        <rFont val="新細明體"/>
        <family val="1"/>
        <charset val="136"/>
        <scheme val="minor"/>
      </rPr>
      <t xml:space="preserve"> - 31.171x + 394.19</t>
    </r>
    <phoneticPr fontId="1" type="noConversion"/>
  </si>
  <si>
    <t>y = 0.0221x + 4.4797</t>
  </si>
  <si>
    <t>y = 0.0196x + 5.8713</t>
  </si>
  <si>
    <t>y = 0.0185x + 6.8983</t>
  </si>
  <si>
    <t>y = 0.0177x + 7.751</t>
  </si>
  <si>
    <t>y = 0.0173x + 8.4927</t>
  </si>
  <si>
    <t>GearRatio</t>
  </si>
  <si>
    <t>TransmissionSide</t>
  </si>
  <si>
    <t>GearsNum</t>
  </si>
  <si>
    <t>WheelNum</t>
  </si>
  <si>
    <t>MainWheelNum</t>
  </si>
  <si>
    <t>DrivePosition</t>
  </si>
  <si>
    <t>WheelThickness</t>
  </si>
  <si>
    <t>LoadPlate</t>
  </si>
  <si>
    <t>Bearings</t>
  </si>
  <si>
    <t>Weight</t>
  </si>
  <si>
    <t>Distance</t>
  </si>
  <si>
    <t>x拉的長度，y移動距離</t>
    <phoneticPr fontId="1" type="noConversion"/>
  </si>
  <si>
    <t>預估拉的長度</t>
  </si>
  <si>
    <t>WindingLength</t>
    <phoneticPr fontId="1" type="noConversion"/>
  </si>
  <si>
    <t>NonmainWheelNum</t>
    <phoneticPr fontId="1" type="noConversion"/>
  </si>
  <si>
    <t>LateralDeviation</t>
    <phoneticPr fontId="1" type="noConversion"/>
  </si>
  <si>
    <t>Set</t>
    <phoneticPr fontId="1" type="noConversion"/>
  </si>
  <si>
    <t>驅動輪直徑</t>
    <phoneticPr fontId="1" type="noConversion"/>
  </si>
  <si>
    <t>非驅動輪直徑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</si>
</sst>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ajor"/>
    </font>
    <font>
      <sz val="12"/>
      <name val="新細明體"/>
      <family val="1"/>
      <charset val="136"/>
      <scheme val="major"/>
    </font>
    <font>
      <sz val="18"/>
      <color theme="1"/>
      <name val="新細明體"/>
      <family val="1"/>
      <charset val="136"/>
      <scheme val="major"/>
    </font>
    <font>
      <sz val="12"/>
      <color rgb="FF000000"/>
      <name val="新細明體"/>
      <family val="1"/>
      <charset val="136"/>
      <scheme val="minor"/>
    </font>
    <font>
      <vertAlign val="superscript"/>
      <sz val="12"/>
      <color rgb="FF000000"/>
      <name val="新細明體"/>
      <family val="1"/>
      <charset val="136"/>
      <scheme val="minor"/>
    </font>
    <font>
      <sz val="9"/>
      <color rgb="FF595959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7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2" fontId="6" fillId="0" borderId="20" xfId="0" applyNumberFormat="1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2" fontId="6" fillId="0" borderId="21" xfId="0" applyNumberFormat="1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1" fontId="6" fillId="0" borderId="18" xfId="0" applyNumberFormat="1" applyFont="1" applyBorder="1" applyAlignment="1">
      <alignment horizontal="center" vertical="center"/>
    </xf>
    <xf numFmtId="1" fontId="6" fillId="2" borderId="18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" fontId="6" fillId="3" borderId="18" xfId="0" applyNumberFormat="1" applyFont="1" applyFill="1" applyBorder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1" fontId="6" fillId="3" borderId="23" xfId="0" applyNumberFormat="1" applyFont="1" applyFill="1" applyBorder="1" applyAlignment="1">
      <alignment horizontal="center" vertical="center"/>
    </xf>
    <xf numFmtId="1" fontId="6" fillId="2" borderId="14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0" fontId="6" fillId="0" borderId="18" xfId="0" applyNumberFormat="1" applyFont="1" applyBorder="1" applyAlignment="1">
      <alignment horizontal="center" vertical="center"/>
    </xf>
    <xf numFmtId="10" fontId="6" fillId="0" borderId="16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2" fontId="6" fillId="3" borderId="2" xfId="0" applyNumberFormat="1" applyFont="1" applyFill="1" applyBorder="1" applyAlignment="1">
      <alignment horizontal="center" vertical="center" wrapText="1"/>
    </xf>
    <xf numFmtId="2" fontId="6" fillId="3" borderId="4" xfId="0" applyNumberFormat="1" applyFont="1" applyFill="1" applyBorder="1" applyAlignment="1">
      <alignment horizontal="center" vertical="center" wrapText="1"/>
    </xf>
    <xf numFmtId="2" fontId="6" fillId="3" borderId="12" xfId="0" applyNumberFormat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1" fontId="6" fillId="0" borderId="29" xfId="0" applyNumberFormat="1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1" fontId="6" fillId="2" borderId="29" xfId="0" applyNumberFormat="1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" fontId="6" fillId="0" borderId="25" xfId="0" applyNumberFormat="1" applyFont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2" fontId="6" fillId="3" borderId="30" xfId="0" applyNumberFormat="1" applyFont="1" applyFill="1" applyBorder="1" applyAlignment="1">
      <alignment horizontal="center" vertical="center" wrapText="1"/>
    </xf>
    <xf numFmtId="2" fontId="6" fillId="3" borderId="29" xfId="0" applyNumberFormat="1" applyFont="1" applyFill="1" applyBorder="1" applyAlignment="1">
      <alignment horizontal="center" vertical="center" wrapText="1"/>
    </xf>
    <xf numFmtId="1" fontId="6" fillId="3" borderId="29" xfId="0" applyNumberFormat="1" applyFont="1" applyFill="1" applyBorder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2" fontId="6" fillId="3" borderId="20" xfId="0" applyNumberFormat="1" applyFont="1" applyFill="1" applyBorder="1" applyAlignment="1">
      <alignment horizontal="center" vertical="center" wrapText="1"/>
    </xf>
    <xf numFmtId="2" fontId="6" fillId="3" borderId="16" xfId="0" applyNumberFormat="1" applyFont="1" applyFill="1" applyBorder="1" applyAlignment="1">
      <alignment horizontal="center" vertical="center" wrapText="1"/>
    </xf>
    <xf numFmtId="2" fontId="6" fillId="3" borderId="21" xfId="0" applyNumberFormat="1" applyFont="1" applyFill="1" applyBorder="1" applyAlignment="1">
      <alignment horizontal="center" vertical="center" wrapText="1"/>
    </xf>
    <xf numFmtId="2" fontId="6" fillId="3" borderId="25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1" fontId="6" fillId="3" borderId="25" xfId="0" applyNumberFormat="1" applyFont="1" applyFill="1" applyBorder="1" applyAlignment="1">
      <alignment horizontal="center" vertical="center" wrapText="1"/>
    </xf>
    <xf numFmtId="176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176" fontId="6" fillId="3" borderId="5" xfId="0" applyNumberFormat="1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center" vertical="center" wrapText="1"/>
    </xf>
    <xf numFmtId="176" fontId="6" fillId="3" borderId="12" xfId="0" applyNumberFormat="1" applyFont="1" applyFill="1" applyBorder="1" applyAlignment="1">
      <alignment horizontal="center" vertical="center" wrapText="1"/>
    </xf>
    <xf numFmtId="176" fontId="6" fillId="2" borderId="22" xfId="0" applyNumberFormat="1" applyFont="1" applyFill="1" applyBorder="1" applyAlignment="1">
      <alignment horizontal="center" vertical="center" wrapText="1"/>
    </xf>
    <xf numFmtId="176" fontId="6" fillId="3" borderId="23" xfId="0" applyNumberFormat="1" applyFont="1" applyFill="1" applyBorder="1" applyAlignment="1">
      <alignment horizontal="center" vertical="center" wrapText="1"/>
    </xf>
    <xf numFmtId="176" fontId="6" fillId="3" borderId="29" xfId="0" applyNumberFormat="1" applyFont="1" applyFill="1" applyBorder="1" applyAlignment="1">
      <alignment horizontal="center" vertical="center" wrapText="1"/>
    </xf>
    <xf numFmtId="176" fontId="6" fillId="2" borderId="20" xfId="0" applyNumberFormat="1" applyFont="1" applyFill="1" applyBorder="1" applyAlignment="1">
      <alignment horizontal="center" vertical="center" wrapText="1"/>
    </xf>
    <xf numFmtId="176" fontId="6" fillId="3" borderId="16" xfId="0" applyNumberFormat="1" applyFont="1" applyFill="1" applyBorder="1" applyAlignment="1">
      <alignment horizontal="center" vertical="center" wrapText="1"/>
    </xf>
    <xf numFmtId="176" fontId="6" fillId="3" borderId="25" xfId="0" applyNumberFormat="1" applyFont="1" applyFill="1" applyBorder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176" fontId="6" fillId="3" borderId="27" xfId="0" applyNumberFormat="1" applyFont="1" applyFill="1" applyBorder="1" applyAlignment="1">
      <alignment horizontal="center" vertical="center"/>
    </xf>
    <xf numFmtId="176" fontId="6" fillId="3" borderId="18" xfId="0" applyNumberFormat="1" applyFont="1" applyFill="1" applyBorder="1" applyAlignment="1">
      <alignment horizontal="center" vertical="center"/>
    </xf>
    <xf numFmtId="176" fontId="6" fillId="3" borderId="8" xfId="0" applyNumberFormat="1" applyFont="1" applyFill="1" applyBorder="1" applyAlignment="1">
      <alignment horizontal="center" vertical="center"/>
    </xf>
    <xf numFmtId="176" fontId="6" fillId="3" borderId="13" xfId="0" applyNumberFormat="1" applyFont="1" applyFill="1" applyBorder="1" applyAlignment="1">
      <alignment horizontal="center" vertical="center"/>
    </xf>
    <xf numFmtId="176" fontId="6" fillId="3" borderId="15" xfId="0" applyNumberFormat="1" applyFont="1" applyFill="1" applyBorder="1" applyAlignment="1">
      <alignment horizontal="center" vertical="center"/>
    </xf>
    <xf numFmtId="2" fontId="6" fillId="3" borderId="26" xfId="0" applyNumberFormat="1" applyFont="1" applyFill="1" applyBorder="1" applyAlignment="1">
      <alignment horizontal="center" vertical="center"/>
    </xf>
    <xf numFmtId="2" fontId="6" fillId="3" borderId="27" xfId="0" applyNumberFormat="1" applyFont="1" applyFill="1" applyBorder="1" applyAlignment="1">
      <alignment horizontal="center" vertical="center"/>
    </xf>
    <xf numFmtId="2" fontId="6" fillId="3" borderId="28" xfId="0" applyNumberFormat="1" applyFont="1" applyFill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/>
    </xf>
    <xf numFmtId="2" fontId="6" fillId="3" borderId="17" xfId="0" applyNumberFormat="1" applyFont="1" applyFill="1" applyBorder="1" applyAlignment="1">
      <alignment horizontal="center" vertical="center"/>
    </xf>
    <xf numFmtId="2" fontId="6" fillId="3" borderId="18" xfId="0" applyNumberFormat="1" applyFont="1" applyFill="1" applyBorder="1" applyAlignment="1">
      <alignment horizontal="center" vertical="center"/>
    </xf>
    <xf numFmtId="2" fontId="6" fillId="3" borderId="19" xfId="0" applyNumberFormat="1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3" borderId="14" xfId="0" applyNumberFormat="1" applyFont="1" applyFill="1" applyBorder="1" applyAlignment="1">
      <alignment horizontal="center" vertical="center"/>
    </xf>
    <xf numFmtId="2" fontId="6" fillId="3" borderId="13" xfId="0" applyNumberFormat="1" applyFont="1" applyFill="1" applyBorder="1" applyAlignment="1">
      <alignment horizontal="center" vertical="center"/>
    </xf>
    <xf numFmtId="2" fontId="6" fillId="3" borderId="15" xfId="0" applyNumberFormat="1" applyFont="1" applyFill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176" fontId="6" fillId="0" borderId="17" xfId="0" applyNumberFormat="1" applyFont="1" applyBorder="1" applyAlignment="1">
      <alignment horizontal="center" vertical="center" wrapText="1"/>
    </xf>
    <xf numFmtId="176" fontId="6" fillId="0" borderId="19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76" fontId="6" fillId="0" borderId="21" xfId="0" applyNumberFormat="1" applyFont="1" applyBorder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/>
    </xf>
    <xf numFmtId="176" fontId="6" fillId="0" borderId="15" xfId="0" applyNumberFormat="1" applyFont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7" fontId="6" fillId="0" borderId="12" xfId="0" applyNumberFormat="1" applyFont="1" applyBorder="1" applyAlignment="1">
      <alignment horizontal="center" vertical="center" wrapText="1"/>
    </xf>
    <xf numFmtId="177" fontId="6" fillId="0" borderId="22" xfId="0" applyNumberFormat="1" applyFont="1" applyBorder="1" applyAlignment="1">
      <alignment horizontal="center" vertical="center" wrapText="1"/>
    </xf>
    <xf numFmtId="177" fontId="6" fillId="0" borderId="30" xfId="0" applyNumberFormat="1" applyFont="1" applyBorder="1" applyAlignment="1">
      <alignment horizontal="center" vertical="center" wrapText="1"/>
    </xf>
    <xf numFmtId="177" fontId="6" fillId="0" borderId="23" xfId="0" applyNumberFormat="1" applyFont="1" applyBorder="1" applyAlignment="1">
      <alignment horizontal="center" vertical="center" wrapText="1"/>
    </xf>
    <xf numFmtId="177" fontId="6" fillId="0" borderId="29" xfId="0" applyNumberFormat="1" applyFont="1" applyBorder="1" applyAlignment="1">
      <alignment horizontal="center" vertical="center" wrapText="1"/>
    </xf>
    <xf numFmtId="177" fontId="6" fillId="0" borderId="20" xfId="0" applyNumberFormat="1" applyFont="1" applyBorder="1" applyAlignment="1">
      <alignment horizontal="center" vertical="center" wrapText="1"/>
    </xf>
    <xf numFmtId="177" fontId="6" fillId="0" borderId="21" xfId="0" applyNumberFormat="1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177" fontId="6" fillId="0" borderId="25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7" xfId="0" applyNumberFormat="1" applyFont="1" applyBorder="1" applyAlignment="1">
      <alignment horizontal="center" vertical="center"/>
    </xf>
    <xf numFmtId="177" fontId="6" fillId="0" borderId="19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177" fontId="6" fillId="0" borderId="24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177" fontId="6" fillId="0" borderId="20" xfId="0" applyNumberFormat="1" applyFont="1" applyBorder="1" applyAlignment="1">
      <alignment horizontal="center" vertical="center"/>
    </xf>
    <xf numFmtId="177" fontId="6" fillId="0" borderId="21" xfId="0" applyNumberFormat="1" applyFont="1" applyBorder="1" applyAlignment="1">
      <alignment horizontal="center" vertical="center"/>
    </xf>
    <xf numFmtId="177" fontId="6" fillId="0" borderId="16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20" fontId="6" fillId="0" borderId="17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3" borderId="19" xfId="0" applyFont="1" applyFill="1" applyBorder="1" applyAlignment="1">
      <alignment horizontal="center" vertical="center"/>
    </xf>
    <xf numFmtId="20" fontId="6" fillId="0" borderId="7" xfId="0" applyNumberFormat="1" applyFont="1" applyBorder="1" applyAlignment="1">
      <alignment horizontal="center" vertical="center" wrapText="1"/>
    </xf>
    <xf numFmtId="10" fontId="6" fillId="0" borderId="8" xfId="0" applyNumberFormat="1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20" fontId="6" fillId="0" borderId="0" xfId="0" applyNumberFormat="1" applyFont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20" fontId="6" fillId="0" borderId="5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 wrapText="1"/>
    </xf>
    <xf numFmtId="176" fontId="6" fillId="0" borderId="9" xfId="0" applyNumberFormat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76" fontId="6" fillId="0" borderId="17" xfId="0" applyNumberFormat="1" applyFont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178" fontId="0" fillId="0" borderId="0" xfId="0" applyNumberFormat="1">
      <alignment vertical="center"/>
    </xf>
    <xf numFmtId="178" fontId="3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 readingOrder="1"/>
    </xf>
    <xf numFmtId="0" fontId="5" fillId="0" borderId="0" xfId="0" applyFont="1">
      <alignment vertical="center"/>
    </xf>
    <xf numFmtId="1" fontId="6" fillId="2" borderId="8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1">
    <cellStyle name="一般" xfId="0" builtinId="0"/>
  </cellStyles>
  <dxfs count="13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76" formatCode="0.00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76" formatCode="0.00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top/>
        <bottom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maj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7.xml"/><Relationship Id="rId23" Type="http://schemas.openxmlformats.org/officeDocument/2006/relationships/customXml" Target="../customXml/item3.xml"/><Relationship Id="rId10" Type="http://schemas.microsoft.com/office/2007/relationships/slicerCache" Target="slicerCaches/slicerCache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07/relationships/slicerCache" Target="slicerCaches/slicerCache6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第三階段全因子預測!$A$17</c:f>
              <c:strCache>
                <c:ptCount val="1"/>
                <c:pt idx="0">
                  <c:v>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60527677120369"/>
                  <c:y val="-8.1126081108833827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>
                        <a:solidFill>
                          <a:schemeClr val="accent1"/>
                        </a:solidFill>
                      </a:rPr>
                      <a:t>50g</a:t>
                    </a:r>
                    <a:br>
                      <a:rPr lang="en-US" altLang="zh-TW" baseline="0">
                        <a:solidFill>
                          <a:schemeClr val="accent1"/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1"/>
                        </a:solidFill>
                      </a:rPr>
                      <a:t>y = 54.543x + 89.429</a:t>
                    </a:r>
                    <a:br>
                      <a:rPr lang="en-US" altLang="zh-TW" baseline="0">
                        <a:solidFill>
                          <a:schemeClr val="accent1"/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1"/>
                        </a:solidFill>
                      </a:rPr>
                      <a:t>R² = 0.9752</a:t>
                    </a:r>
                    <a:endParaRPr lang="en-US" altLang="zh-TW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TW"/>
                </a:p>
              </c:txPr>
            </c:trendlineLbl>
          </c:trendline>
          <c:xVal>
            <c:strRef>
              <c:f>第三階段全因子預測!$B$16:$M$16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第三階段全因子預測!$B$17:$M$17</c:f>
            </c:numRef>
          </c:yVal>
          <c:smooth val="0"/>
          <c:extLst>
            <c:ext xmlns:c16="http://schemas.microsoft.com/office/drawing/2014/chart" uri="{C3380CC4-5D6E-409C-BE32-E72D297353CC}">
              <c16:uniqueId val="{00000003-7820-44C4-9D13-723CB87500A6}"/>
            </c:ext>
          </c:extLst>
        </c:ser>
        <c:ser>
          <c:idx val="1"/>
          <c:order val="1"/>
          <c:tx>
            <c:strRef>
              <c:f>第三階段全因子預測!$A$18</c:f>
              <c:strCache>
                <c:ptCount val="1"/>
                <c:pt idx="0">
                  <c:v>100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808889321205179E-3"/>
                  <c:y val="0.300166500102685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>
                        <a:solidFill>
                          <a:schemeClr val="accent2"/>
                        </a:solidFill>
                      </a:rPr>
                      <a:t>100g</a:t>
                    </a:r>
                    <a:br>
                      <a:rPr lang="en-US" altLang="zh-TW" baseline="0">
                        <a:solidFill>
                          <a:schemeClr val="accent2"/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2"/>
                        </a:solidFill>
                      </a:rPr>
                      <a:t>y = 54.648x + 36.273</a:t>
                    </a:r>
                    <a:br>
                      <a:rPr lang="en-US" altLang="zh-TW" baseline="0">
                        <a:solidFill>
                          <a:schemeClr val="accent2"/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2"/>
                        </a:solidFill>
                      </a:rPr>
                      <a:t>R² = 0.9799</a:t>
                    </a:r>
                    <a:endParaRPr lang="en-US" altLang="zh-TW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TW"/>
                </a:p>
              </c:txPr>
            </c:trendlineLbl>
          </c:trendline>
          <c:xVal>
            <c:strRef>
              <c:f>第三階段全因子預測!$B$16:$M$16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第三階段全因子預測!$B$18:$M$18</c:f>
            </c:numRef>
          </c:yVal>
          <c:smooth val="0"/>
          <c:extLst>
            <c:ext xmlns:c16="http://schemas.microsoft.com/office/drawing/2014/chart" uri="{C3380CC4-5D6E-409C-BE32-E72D297353CC}">
              <c16:uniqueId val="{00000004-7820-44C4-9D13-723CB87500A6}"/>
            </c:ext>
          </c:extLst>
        </c:ser>
        <c:ser>
          <c:idx val="2"/>
          <c:order val="2"/>
          <c:tx>
            <c:strRef>
              <c:f>第三階段全因子預測!$A$19</c:f>
              <c:strCache>
                <c:ptCount val="1"/>
                <c:pt idx="0">
                  <c:v>150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527269718412605E-4"/>
                  <c:y val="0.5151506150410948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6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150g</a:t>
                    </a:r>
                    <a:b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y = 63.095x - 94.016</a:t>
                    </a:r>
                    <a:b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R² = 0.9658</a:t>
                    </a:r>
                    <a:endParaRPr lang="en-US" altLang="zh-TW">
                      <a:solidFill>
                        <a:schemeClr val="accent6">
                          <a:lumMod val="7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TW"/>
                </a:p>
              </c:txPr>
            </c:trendlineLbl>
          </c:trendline>
          <c:xVal>
            <c:strRef>
              <c:f>第三階段全因子預測!$B$16:$M$16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第三階段全因子預測!$B$19:$M$19</c:f>
              <c:numCache>
                <c:formatCode>General</c:formatCode>
                <c:ptCount val="12"/>
                <c:pt idx="6" formatCode="0.0">
                  <c:v>372.33333333333331</c:v>
                </c:pt>
                <c:pt idx="7" formatCode="0.0">
                  <c:v>401.33333333333331</c:v>
                </c:pt>
                <c:pt idx="8" formatCode="0.0">
                  <c:v>453.33333333333331</c:v>
                </c:pt>
                <c:pt idx="9" formatCode="0.0">
                  <c:v>511.66666666666669</c:v>
                </c:pt>
                <c:pt idx="10" formatCode="0.0">
                  <c:v>626.33333333333337</c:v>
                </c:pt>
                <c:pt idx="11" formatCode="0.0">
                  <c:v>667.33333333333337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20-44C4-9D13-723CB8750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546976"/>
        <c:axId val="1646546496"/>
      </c:scatterChart>
      <c:valAx>
        <c:axId val="1646546976"/>
        <c:scaling>
          <c:orientation val="minMax"/>
          <c:max val="12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6546496"/>
        <c:crosses val="autoZero"/>
        <c:crossBetween val="midCat"/>
      </c:valAx>
      <c:valAx>
        <c:axId val="1646546496"/>
        <c:scaling>
          <c:orientation val="minMax"/>
          <c:max val="7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654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第三階段全因子預測!$A$17</c:f>
              <c:strCache>
                <c:ptCount val="1"/>
                <c:pt idx="0">
                  <c:v>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360527677120369"/>
                  <c:y val="-8.1126081108833827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>
                        <a:solidFill>
                          <a:schemeClr val="accent1"/>
                        </a:solidFill>
                      </a:rPr>
                      <a:t>50g</a:t>
                    </a:r>
                    <a:br>
                      <a:rPr lang="en-US" altLang="zh-TW" baseline="0">
                        <a:solidFill>
                          <a:schemeClr val="accent1"/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1"/>
                        </a:solidFill>
                      </a:rPr>
                      <a:t>y = 5.7143x</a:t>
                    </a:r>
                    <a:r>
                      <a:rPr lang="en-US" altLang="zh-TW" baseline="30000">
                        <a:solidFill>
                          <a:schemeClr val="accent1"/>
                        </a:solidFill>
                      </a:rPr>
                      <a:t>2</a:t>
                    </a:r>
                    <a:r>
                      <a:rPr lang="en-US" altLang="zh-TW" baseline="0">
                        <a:solidFill>
                          <a:schemeClr val="accent1"/>
                        </a:solidFill>
                      </a:rPr>
                      <a:t> - 31.171x + 394.19</a:t>
                    </a:r>
                    <a:br>
                      <a:rPr lang="en-US" altLang="zh-TW" baseline="0">
                        <a:solidFill>
                          <a:schemeClr val="accent1"/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1"/>
                        </a:solidFill>
                      </a:rPr>
                      <a:t>R² = 0.998</a:t>
                    </a:r>
                    <a:endParaRPr lang="en-US" altLang="zh-TW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TW"/>
                </a:p>
              </c:txPr>
            </c:trendlineLbl>
          </c:trendline>
          <c:xVal>
            <c:strRef>
              <c:f>第三階段全因子預測!$B$16:$M$16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第三階段全因子預測!$B$17:$M$17</c:f>
            </c:numRef>
          </c:yVal>
          <c:smooth val="0"/>
          <c:extLst>
            <c:ext xmlns:c16="http://schemas.microsoft.com/office/drawing/2014/chart" uri="{C3380CC4-5D6E-409C-BE32-E72D297353CC}">
              <c16:uniqueId val="{00000001-DF18-48F5-8BAB-65877E603E3F}"/>
            </c:ext>
          </c:extLst>
        </c:ser>
        <c:ser>
          <c:idx val="1"/>
          <c:order val="1"/>
          <c:tx>
            <c:strRef>
              <c:f>第三階段全因子預測!$A$18</c:f>
              <c:strCache>
                <c:ptCount val="1"/>
                <c:pt idx="0">
                  <c:v>100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8808889321205179E-3"/>
                  <c:y val="0.300166500102685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>
                        <a:solidFill>
                          <a:schemeClr val="accent2"/>
                        </a:solidFill>
                      </a:rPr>
                      <a:t>100g</a:t>
                    </a:r>
                    <a:br>
                      <a:rPr lang="en-US" altLang="zh-TW" baseline="0">
                        <a:solidFill>
                          <a:schemeClr val="accent2"/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2"/>
                        </a:solidFill>
                      </a:rPr>
                      <a:t>y = 4.9702x</a:t>
                    </a:r>
                    <a:r>
                      <a:rPr lang="en-US" altLang="zh-TW" baseline="30000">
                        <a:solidFill>
                          <a:schemeClr val="accent2"/>
                        </a:solidFill>
                      </a:rPr>
                      <a:t>2</a:t>
                    </a:r>
                    <a:r>
                      <a:rPr lang="en-US" altLang="zh-TW" baseline="0">
                        <a:solidFill>
                          <a:schemeClr val="accent2"/>
                        </a:solidFill>
                      </a:rPr>
                      <a:t> - 29.846x + 380.88</a:t>
                    </a:r>
                    <a:br>
                      <a:rPr lang="en-US" altLang="zh-TW" baseline="0">
                        <a:solidFill>
                          <a:schemeClr val="accent2"/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2"/>
                        </a:solidFill>
                      </a:rPr>
                      <a:t>R² = 0.9972</a:t>
                    </a:r>
                    <a:endParaRPr lang="en-US" altLang="zh-TW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TW"/>
                </a:p>
              </c:txPr>
            </c:trendlineLbl>
          </c:trendline>
          <c:xVal>
            <c:strRef>
              <c:f>第三階段全因子預測!$B$16:$M$16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第三階段全因子預測!$B$18:$M$18</c:f>
            </c:numRef>
          </c:yVal>
          <c:smooth val="0"/>
          <c:extLst>
            <c:ext xmlns:c16="http://schemas.microsoft.com/office/drawing/2014/chart" uri="{C3380CC4-5D6E-409C-BE32-E72D297353CC}">
              <c16:uniqueId val="{00000003-DF18-48F5-8BAB-65877E603E3F}"/>
            </c:ext>
          </c:extLst>
        </c:ser>
        <c:ser>
          <c:idx val="2"/>
          <c:order val="2"/>
          <c:tx>
            <c:strRef>
              <c:f>第三階段全因子預測!$A$19</c:f>
              <c:strCache>
                <c:ptCount val="1"/>
                <c:pt idx="0">
                  <c:v>150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7.5527269718412605E-4"/>
                  <c:y val="0.5151506150410948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6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150g</a:t>
                    </a:r>
                    <a:b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y = 5.5476x</a:t>
                    </a:r>
                    <a:r>
                      <a:rPr lang="en-US" altLang="zh-TW" baseline="3000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2</a:t>
                    </a:r>
                    <a: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 - 42.31x + 390.48</a:t>
                    </a:r>
                    <a:b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</a:br>
                    <a:r>
                      <a:rPr lang="en-US" altLang="zh-TW" baseline="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R² = 0.9817</a:t>
                    </a:r>
                    <a:endParaRPr lang="en-US" altLang="zh-TW">
                      <a:solidFill>
                        <a:schemeClr val="accent6">
                          <a:lumMod val="7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TW"/>
                </a:p>
              </c:txPr>
            </c:trendlineLbl>
          </c:trendline>
          <c:xVal>
            <c:strRef>
              <c:f>第三階段全因子預測!$B$16:$M$16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xVal>
          <c:yVal>
            <c:numRef>
              <c:f>第三階段全因子預測!$B$19:$M$19</c:f>
              <c:numCache>
                <c:formatCode>General</c:formatCode>
                <c:ptCount val="12"/>
                <c:pt idx="6" formatCode="0.0">
                  <c:v>372.33333333333331</c:v>
                </c:pt>
                <c:pt idx="7" formatCode="0.0">
                  <c:v>401.33333333333331</c:v>
                </c:pt>
                <c:pt idx="8" formatCode="0.0">
                  <c:v>453.33333333333331</c:v>
                </c:pt>
                <c:pt idx="9" formatCode="0.0">
                  <c:v>511.66666666666669</c:v>
                </c:pt>
                <c:pt idx="10" formatCode="0.0">
                  <c:v>626.33333333333337</c:v>
                </c:pt>
                <c:pt idx="11" formatCode="0.0">
                  <c:v>667.33333333333337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18-48F5-8BAB-65877E603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546976"/>
        <c:axId val="1646546496"/>
      </c:scatterChart>
      <c:valAx>
        <c:axId val="1646546976"/>
        <c:scaling>
          <c:orientation val="minMax"/>
          <c:max val="12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6546496"/>
        <c:crosses val="autoZero"/>
        <c:crossBetween val="midCat"/>
      </c:valAx>
      <c:valAx>
        <c:axId val="1646546496"/>
        <c:scaling>
          <c:orientation val="minMax"/>
          <c:max val="7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654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view3D>
      <c:rotX val="15"/>
      <c:rotY val="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580928512809898E-2"/>
          <c:y val="0.15505800583743626"/>
          <c:w val="0.88999540682414702"/>
          <c:h val="0.75928988043161272"/>
        </c:manualLayout>
      </c:layout>
      <c:surface3DChart>
        <c:wireframe val="1"/>
        <c:ser>
          <c:idx val="1"/>
          <c:order val="0"/>
          <c:tx>
            <c:strRef>
              <c:f>第三階段全因子預測!$V$2</c:f>
              <c:strCache>
                <c:ptCount val="1"/>
                <c:pt idx="0">
                  <c:v>50</c:v>
                </c:pt>
              </c:strCache>
            </c:strRef>
          </c:tx>
          <c:spPr>
            <a:ln w="952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cat>
            <c:numRef>
              <c:f>第三階段全因子預測!$W$1:$AA$1</c:f>
              <c:numCache>
                <c:formatCode>General</c:formatCode>
                <c:ptCount val="5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</c:numCache>
            </c:numRef>
          </c:cat>
          <c:val>
            <c:numRef>
              <c:f>第三階段全因子預測!$W$2:$AA$2</c:f>
              <c:numCache>
                <c:formatCode>General</c:formatCode>
                <c:ptCount val="5"/>
                <c:pt idx="0">
                  <c:v>5.6349999999999998</c:v>
                </c:pt>
                <c:pt idx="1">
                  <c:v>6.8760000000000003</c:v>
                </c:pt>
                <c:pt idx="2">
                  <c:v>7.8220000000000001</c:v>
                </c:pt>
                <c:pt idx="3">
                  <c:v>8.6189999999999998</c:v>
                </c:pt>
                <c:pt idx="4">
                  <c:v>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E-49F6-8988-071EC39D97A6}"/>
            </c:ext>
          </c:extLst>
        </c:ser>
        <c:ser>
          <c:idx val="2"/>
          <c:order val="1"/>
          <c:tx>
            <c:strRef>
              <c:f>第三階段全因子預測!$V$3</c:f>
              <c:strCache>
                <c:ptCount val="1"/>
                <c:pt idx="0">
                  <c:v>100</c:v>
                </c:pt>
              </c:strCache>
            </c:strRef>
          </c:tx>
          <c:spPr>
            <a:ln w="952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cat>
            <c:numRef>
              <c:f>第三階段全因子預測!$W$1:$AA$1</c:f>
              <c:numCache>
                <c:formatCode>General</c:formatCode>
                <c:ptCount val="5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</c:numCache>
            </c:numRef>
          </c:cat>
          <c:val>
            <c:numRef>
              <c:f>第三階段全因子預測!$W$3:$AA$3</c:f>
              <c:numCache>
                <c:formatCode>General</c:formatCode>
                <c:ptCount val="5"/>
                <c:pt idx="0">
                  <c:v>6.5890000000000004</c:v>
                </c:pt>
                <c:pt idx="1">
                  <c:v>7.79</c:v>
                </c:pt>
                <c:pt idx="2">
                  <c:v>8.7449999999999992</c:v>
                </c:pt>
                <c:pt idx="3">
                  <c:v>9.5630000000000006</c:v>
                </c:pt>
                <c:pt idx="4">
                  <c:v>10.29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0E-49F6-8988-071EC39D97A6}"/>
            </c:ext>
          </c:extLst>
        </c:ser>
        <c:ser>
          <c:idx val="3"/>
          <c:order val="2"/>
          <c:tx>
            <c:strRef>
              <c:f>第三階段全因子預測!$V$4</c:f>
              <c:strCache>
                <c:ptCount val="1"/>
                <c:pt idx="0">
                  <c:v>150</c:v>
                </c:pt>
              </c:strCache>
            </c:strRef>
          </c:tx>
          <c:spPr>
            <a:ln w="952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cat>
            <c:numRef>
              <c:f>第三階段全因子預測!$W$1:$AA$1</c:f>
              <c:numCache>
                <c:formatCode>General</c:formatCode>
                <c:ptCount val="5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</c:numCache>
            </c:numRef>
          </c:cat>
          <c:val>
            <c:numRef>
              <c:f>第三階段全因子預測!$W$4:$AA$4</c:f>
              <c:numCache>
                <c:formatCode>General</c:formatCode>
                <c:ptCount val="5"/>
                <c:pt idx="0">
                  <c:v>7.8449999999999998</c:v>
                </c:pt>
                <c:pt idx="1">
                  <c:v>8.84</c:v>
                </c:pt>
                <c:pt idx="2">
                  <c:v>9.6690000000000005</c:v>
                </c:pt>
                <c:pt idx="3">
                  <c:v>10.393000000000001</c:v>
                </c:pt>
                <c:pt idx="4">
                  <c:v>11.045999999999999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0E-49F6-8988-071EC39D97A6}"/>
            </c:ext>
          </c:extLst>
        </c:ser>
        <c:bandFmts>
          <c:bandFmt>
            <c:idx val="0"/>
            <c:spPr>
              <a:ln w="9525" cap="rnd">
                <a:solidFill>
                  <a:schemeClr val="accent1">
                    <a:shade val="58000"/>
                  </a:schemeClr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1">
                    <a:shade val="86000"/>
                  </a:schemeClr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1">
                    <a:tint val="86000"/>
                  </a:schemeClr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1">
                    <a:tint val="58000"/>
                  </a:schemeClr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1">
                    <a:tint val="30000"/>
                  </a:schemeClr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1">
                    <a:tint val="2000"/>
                  </a:schemeClr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tint val="74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1">
                    <a:tint val="46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1">
                    <a:tint val="18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1">
                    <a:tint val="62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1">
                    <a:tint val="34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tint val="6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1">
                    <a:tint val="78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1">
                    <a:tint val="50000"/>
                  </a:schemeClr>
                </a:solidFill>
                <a:round/>
              </a:ln>
              <a:effectLst/>
            </c:spPr>
          </c:bandFmt>
        </c:bandFmts>
        <c:axId val="2078263552"/>
        <c:axId val="2078276032"/>
        <c:axId val="653894320"/>
      </c:surface3DChart>
      <c:catAx>
        <c:axId val="207826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直線距離</a:t>
                </a:r>
              </a:p>
            </c:rich>
          </c:tx>
          <c:layout>
            <c:manualLayout>
              <c:xMode val="edge"/>
              <c:yMode val="edge"/>
              <c:x val="0.15492366579177608"/>
              <c:y val="0.8369141878098570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276032"/>
        <c:crosses val="autoZero"/>
        <c:auto val="1"/>
        <c:lblAlgn val="ctr"/>
        <c:lblOffset val="100"/>
        <c:noMultiLvlLbl val="0"/>
      </c:catAx>
      <c:valAx>
        <c:axId val="20782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拉繩長度</a:t>
                </a:r>
              </a:p>
            </c:rich>
          </c:tx>
          <c:layout>
            <c:manualLayout>
              <c:xMode val="edge"/>
              <c:yMode val="edge"/>
              <c:x val="1.9086614173228343E-2"/>
              <c:y val="3.869240303295420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263552"/>
        <c:crosses val="autoZero"/>
        <c:crossBetween val="midCat"/>
      </c:valAx>
      <c:serAx>
        <c:axId val="653894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重量</a:t>
                </a:r>
                <a:endParaRPr lang="en-US" altLang="zh-TW"/>
              </a:p>
            </c:rich>
          </c:tx>
          <c:layout>
            <c:manualLayout>
              <c:xMode val="edge"/>
              <c:yMode val="edge"/>
              <c:x val="0.94374015748031492"/>
              <c:y val="0.7146066637503646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276032"/>
        <c:crosses val="autoZero"/>
      </c:serAx>
      <c:spPr>
        <a:noFill/>
        <a:ln>
          <a:noFill/>
        </a:ln>
        <a:effectLst>
          <a:outerShdw blurRad="50800" dist="50800" dir="4200000" algn="ctr" rotWithShape="0">
            <a:srgbClr val="000000">
              <a:alpha val="43137"/>
            </a:srgbClr>
          </a:outerShdw>
          <a:softEdge rad="76200"/>
        </a:effectLst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 prstMaterial="translucentPowder"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第三階段全因子預測!$W$1</c:f>
              <c:strCache>
                <c:ptCount val="1"/>
                <c:pt idx="0">
                  <c:v>400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第三階段全因子預測!$V$2:$V$4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第三階段全因子預測!$W$2:$W$4</c:f>
              <c:numCache>
                <c:formatCode>General</c:formatCode>
                <c:ptCount val="3"/>
                <c:pt idx="0">
                  <c:v>5.6349999999999998</c:v>
                </c:pt>
                <c:pt idx="1">
                  <c:v>6.5890000000000004</c:v>
                </c:pt>
                <c:pt idx="2">
                  <c:v>7.8449999999999998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C-4F67-9212-3797A46E1010}"/>
            </c:ext>
          </c:extLst>
        </c:ser>
        <c:ser>
          <c:idx val="1"/>
          <c:order val="1"/>
          <c:tx>
            <c:strRef>
              <c:f>第三階段全因子預測!$X$1</c:f>
              <c:strCache>
                <c:ptCount val="1"/>
                <c:pt idx="0">
                  <c:v>450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第三階段全因子預測!$V$2:$V$4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第三階段全因子預測!$X$2:$X$4</c:f>
              <c:numCache>
                <c:formatCode>General</c:formatCode>
                <c:ptCount val="3"/>
                <c:pt idx="0">
                  <c:v>6.8760000000000003</c:v>
                </c:pt>
                <c:pt idx="1">
                  <c:v>7.79</c:v>
                </c:pt>
                <c:pt idx="2">
                  <c:v>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0C-4F67-9212-3797A46E1010}"/>
            </c:ext>
          </c:extLst>
        </c:ser>
        <c:ser>
          <c:idx val="2"/>
          <c:order val="2"/>
          <c:tx>
            <c:strRef>
              <c:f>第三階段全因子預測!$Y$1</c:f>
              <c:strCache>
                <c:ptCount val="1"/>
                <c:pt idx="0">
                  <c:v>500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第三階段全因子預測!$V$2:$V$4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第三階段全因子預測!$Y$2:$Y$4</c:f>
              <c:numCache>
                <c:formatCode>General</c:formatCode>
                <c:ptCount val="3"/>
                <c:pt idx="0">
                  <c:v>7.8220000000000001</c:v>
                </c:pt>
                <c:pt idx="1">
                  <c:v>8.7449999999999992</c:v>
                </c:pt>
                <c:pt idx="2">
                  <c:v>9.6690000000000005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0C-4F67-9212-3797A46E1010}"/>
            </c:ext>
          </c:extLst>
        </c:ser>
        <c:ser>
          <c:idx val="3"/>
          <c:order val="3"/>
          <c:tx>
            <c:strRef>
              <c:f>第三階段全因子預測!$Z$1</c:f>
              <c:strCache>
                <c:ptCount val="1"/>
                <c:pt idx="0">
                  <c:v>550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第三階段全因子預測!$V$2:$V$4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第三階段全因子預測!$Z$2:$Z$4</c:f>
              <c:numCache>
                <c:formatCode>General</c:formatCode>
                <c:ptCount val="3"/>
                <c:pt idx="0">
                  <c:v>8.6189999999999998</c:v>
                </c:pt>
                <c:pt idx="1">
                  <c:v>9.5630000000000006</c:v>
                </c:pt>
                <c:pt idx="2">
                  <c:v>10.393000000000001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C0C-4F67-9212-3797A46E1010}"/>
            </c:ext>
          </c:extLst>
        </c:ser>
        <c:ser>
          <c:idx val="4"/>
          <c:order val="4"/>
          <c:tx>
            <c:strRef>
              <c:f>第三階段全因子預測!$AA$1</c:f>
              <c:strCache>
                <c:ptCount val="1"/>
                <c:pt idx="0">
                  <c:v>600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第三階段全因子預測!$V$2:$V$4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第三階段全因子預測!$AA$2:$AA$4</c:f>
              <c:numCache>
                <c:formatCode>General</c:formatCode>
                <c:ptCount val="3"/>
                <c:pt idx="0">
                  <c:v>9.32</c:v>
                </c:pt>
                <c:pt idx="1">
                  <c:v>10.29</c:v>
                </c:pt>
                <c:pt idx="2">
                  <c:v>11.045999999999999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C0C-4F67-9212-3797A46E1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650496"/>
        <c:axId val="1206655776"/>
      </c:scatterChart>
      <c:valAx>
        <c:axId val="120665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6655776"/>
        <c:crosses val="autoZero"/>
        <c:crossBetween val="midCat"/>
      </c:valAx>
      <c:valAx>
        <c:axId val="12066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665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[第5組_Final-2.xlsx]剖析圖表!樞紐分析表1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剖析圖表!$B$1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剖析圖表!$A$2:$A$22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</c:strCache>
            </c:strRef>
          </c:cat>
          <c:val>
            <c:numRef>
              <c:f>剖析圖表!$B$2:$B$22</c:f>
              <c:numCache>
                <c:formatCode>0.00</c:formatCode>
                <c:ptCount val="20"/>
                <c:pt idx="0">
                  <c:v>590.18888888888887</c:v>
                </c:pt>
                <c:pt idx="1">
                  <c:v>479.05555555555554</c:v>
                </c:pt>
                <c:pt idx="2">
                  <c:v>498.22222222222223</c:v>
                </c:pt>
                <c:pt idx="3">
                  <c:v>572.33333333333337</c:v>
                </c:pt>
                <c:pt idx="4">
                  <c:v>499.77777777777777</c:v>
                </c:pt>
                <c:pt idx="5">
                  <c:v>612.94444444444446</c:v>
                </c:pt>
                <c:pt idx="6">
                  <c:v>529.88888888888891</c:v>
                </c:pt>
                <c:pt idx="7">
                  <c:v>640.16666666666663</c:v>
                </c:pt>
                <c:pt idx="8">
                  <c:v>656.88888888888891</c:v>
                </c:pt>
                <c:pt idx="9">
                  <c:v>757.55555555555554</c:v>
                </c:pt>
                <c:pt idx="10">
                  <c:v>878.38888888888891</c:v>
                </c:pt>
                <c:pt idx="11">
                  <c:v>723.44444444444446</c:v>
                </c:pt>
                <c:pt idx="12">
                  <c:v>632.05555555555554</c:v>
                </c:pt>
                <c:pt idx="13">
                  <c:v>751</c:v>
                </c:pt>
                <c:pt idx="14">
                  <c:v>804.72222222222217</c:v>
                </c:pt>
                <c:pt idx="15">
                  <c:v>790.77777777777783</c:v>
                </c:pt>
                <c:pt idx="16">
                  <c:v>795.55555555555554</c:v>
                </c:pt>
                <c:pt idx="17">
                  <c:v>787.88888888888891</c:v>
                </c:pt>
                <c:pt idx="18">
                  <c:v>808.55555555555554</c:v>
                </c:pt>
                <c:pt idx="19">
                  <c:v>749.33333333333337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1-4F33-BA9C-9A9602D8B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592736"/>
        <c:axId val="1542604736"/>
      </c:barChart>
      <c:catAx>
        <c:axId val="15425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2604736"/>
        <c:crosses val="autoZero"/>
        <c:auto val="1"/>
        <c:lblAlgn val="ctr"/>
        <c:lblOffset val="100"/>
        <c:noMultiLvlLbl val="0"/>
      </c:catAx>
      <c:valAx>
        <c:axId val="15426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259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[第5組_Final-2.xlsx]剖析圖表!樞紐分析表2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剖析圖表!$B$29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剖析圖表!$A$30:$A$34</c:f>
              <c:strCache>
                <c:ptCount val="4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</c:strCache>
            </c:strRef>
          </c:cat>
          <c:val>
            <c:numRef>
              <c:f>剖析圖表!$B$30:$B$34</c:f>
              <c:numCache>
                <c:formatCode>General</c:formatCode>
                <c:ptCount val="4"/>
                <c:pt idx="0">
                  <c:v>22.470140645047429</c:v>
                </c:pt>
                <c:pt idx="1">
                  <c:v>57.035414063619591</c:v>
                </c:pt>
                <c:pt idx="2">
                  <c:v>96.12199474746248</c:v>
                </c:pt>
                <c:pt idx="3">
                  <c:v>52.621458872587262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C-47BE-919E-BFF0AC210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266656"/>
        <c:axId val="1969931536"/>
      </c:barChart>
      <c:catAx>
        <c:axId val="19792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9931536"/>
        <c:crosses val="autoZero"/>
        <c:auto val="1"/>
        <c:lblAlgn val="ctr"/>
        <c:lblOffset val="100"/>
        <c:noMultiLvlLbl val="0"/>
      </c:catAx>
      <c:valAx>
        <c:axId val="19699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926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35226</xdr:colOff>
      <xdr:row>24</xdr:row>
      <xdr:rowOff>117601</xdr:rowOff>
    </xdr:from>
    <xdr:to>
      <xdr:col>6</xdr:col>
      <xdr:colOff>191558</xdr:colOff>
      <xdr:row>27</xdr:row>
      <xdr:rowOff>64366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1" name="欄1">
              <a:extLst>
                <a:ext uri="{FF2B5EF4-FFF2-40B4-BE49-F238E27FC236}">
                  <a16:creationId xmlns:a16="http://schemas.microsoft.com/office/drawing/2014/main" id="{366B6A16-39D7-795E-3A6D-141E9FEA95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欄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26" y="4777833"/>
              <a:ext cx="3813932" cy="5724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此圖形代表表格交叉分析篩選器。此版本的 Excel 不支援表格交叉分析篩選器。
如果圖形在舊版 Excel 中修改，或如果活頁簿在 Excel 2007 或較舊版本中儲存，則無法使用交叉分析篩選器。</a:t>
              </a:r>
            </a:p>
          </xdr:txBody>
        </xdr:sp>
      </mc:Fallback>
    </mc:AlternateContent>
    <xdr:clientData/>
  </xdr:twoCellAnchor>
  <xdr:twoCellAnchor>
    <xdr:from>
      <xdr:col>7</xdr:col>
      <xdr:colOff>42810</xdr:colOff>
      <xdr:row>21</xdr:row>
      <xdr:rowOff>64336</xdr:rowOff>
    </xdr:from>
    <xdr:to>
      <xdr:col>15</xdr:col>
      <xdr:colOff>776206</xdr:colOff>
      <xdr:row>36</xdr:row>
      <xdr:rowOff>113018</xdr:rowOff>
    </xdr:to>
    <xdr:graphicFrame macro="">
      <xdr:nvGraphicFramePr>
        <xdr:cNvPr id="22" name="圖表 21">
          <a:extLst>
            <a:ext uri="{FF2B5EF4-FFF2-40B4-BE49-F238E27FC236}">
              <a16:creationId xmlns:a16="http://schemas.microsoft.com/office/drawing/2014/main" id="{7DF586C5-E4AA-CCA9-FC40-947B14AF2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273978</xdr:colOff>
      <xdr:row>21</xdr:row>
      <xdr:rowOff>59932</xdr:rowOff>
    </xdr:from>
    <xdr:to>
      <xdr:col>25</xdr:col>
      <xdr:colOff>639217</xdr:colOff>
      <xdr:row>36</xdr:row>
      <xdr:rowOff>108614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AF2079-9BFD-4D04-B390-2B7F12C11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520808</xdr:colOff>
      <xdr:row>21</xdr:row>
      <xdr:rowOff>94487</xdr:rowOff>
    </xdr:from>
    <xdr:to>
      <xdr:col>34</xdr:col>
      <xdr:colOff>507434</xdr:colOff>
      <xdr:row>34</xdr:row>
      <xdr:rowOff>166407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72AE4496-345E-5D3D-1122-AC595CCBB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388223</xdr:colOff>
      <xdr:row>7</xdr:row>
      <xdr:rowOff>174156</xdr:rowOff>
    </xdr:from>
    <xdr:to>
      <xdr:col>34</xdr:col>
      <xdr:colOff>385694</xdr:colOff>
      <xdr:row>20</xdr:row>
      <xdr:rowOff>177580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F71BEE6E-615A-B748-A158-832863439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1089660</xdr:colOff>
      <xdr:row>0</xdr:row>
      <xdr:rowOff>15240</xdr:rowOff>
    </xdr:from>
    <xdr:to>
      <xdr:col>9</xdr:col>
      <xdr:colOff>213360</xdr:colOff>
      <xdr:row>13</xdr:row>
      <xdr:rowOff>83820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DB5DE0A-3E11-3BC7-B949-0A9A891BB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342900</xdr:colOff>
      <xdr:row>14</xdr:row>
      <xdr:rowOff>198121</xdr:rowOff>
    </xdr:from>
    <xdr:to>
      <xdr:col>3</xdr:col>
      <xdr:colOff>381000</xdr:colOff>
      <xdr:row>20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傳動比">
              <a:extLst>
                <a:ext uri="{FF2B5EF4-FFF2-40B4-BE49-F238E27FC236}">
                  <a16:creationId xmlns:a16="http://schemas.microsoft.com/office/drawing/2014/main" id="{F2C7ED67-CFFD-57F5-3023-32F43D4C9B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傳動比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3078481"/>
              <a:ext cx="1828800" cy="1074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480060</xdr:colOff>
      <xdr:row>14</xdr:row>
      <xdr:rowOff>182881</xdr:rowOff>
    </xdr:from>
    <xdr:to>
      <xdr:col>6</xdr:col>
      <xdr:colOff>480060</xdr:colOff>
      <xdr:row>19</xdr:row>
      <xdr:rowOff>15241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有無軸承">
              <a:extLst>
                <a:ext uri="{FF2B5EF4-FFF2-40B4-BE49-F238E27FC236}">
                  <a16:creationId xmlns:a16="http://schemas.microsoft.com/office/drawing/2014/main" id="{32146269-4A5B-E072-A0CE-4A6A0FD813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有無軸承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5860" y="3063241"/>
              <a:ext cx="1828800" cy="861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601980</xdr:colOff>
      <xdr:row>14</xdr:row>
      <xdr:rowOff>198121</xdr:rowOff>
    </xdr:from>
    <xdr:to>
      <xdr:col>9</xdr:col>
      <xdr:colOff>601980</xdr:colOff>
      <xdr:row>20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齒輪數量">
              <a:extLst>
                <a:ext uri="{FF2B5EF4-FFF2-40B4-BE49-F238E27FC236}">
                  <a16:creationId xmlns:a16="http://schemas.microsoft.com/office/drawing/2014/main" id="{C1608B21-69C6-8443-88A0-B461D28947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齒輪數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6580" y="3078481"/>
              <a:ext cx="1828800" cy="1112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2</xdr:col>
      <xdr:colOff>754380</xdr:colOff>
      <xdr:row>27</xdr:row>
      <xdr:rowOff>201930</xdr:rowOff>
    </xdr:from>
    <xdr:to>
      <xdr:col>8</xdr:col>
      <xdr:colOff>487680</xdr:colOff>
      <xdr:row>41</xdr:row>
      <xdr:rowOff>64770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EF1E56B4-992D-42F3-AA40-A5E68B84A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746760</xdr:colOff>
      <xdr:row>41</xdr:row>
      <xdr:rowOff>167641</xdr:rowOff>
    </xdr:from>
    <xdr:to>
      <xdr:col>4</xdr:col>
      <xdr:colOff>175260</xdr:colOff>
      <xdr:row>47</xdr:row>
      <xdr:rowOff>22861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傳動比 1">
              <a:extLst>
                <a:ext uri="{FF2B5EF4-FFF2-40B4-BE49-F238E27FC236}">
                  <a16:creationId xmlns:a16="http://schemas.microsoft.com/office/drawing/2014/main" id="{8A1B2936-1071-A757-C8BC-0C58BFB893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傳動比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1860" y="8602981"/>
              <a:ext cx="1828800" cy="1089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281940</xdr:colOff>
      <xdr:row>41</xdr:row>
      <xdr:rowOff>137161</xdr:rowOff>
    </xdr:from>
    <xdr:to>
      <xdr:col>7</xdr:col>
      <xdr:colOff>281940</xdr:colOff>
      <xdr:row>46</xdr:row>
      <xdr:rowOff>91441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有無主板">
              <a:extLst>
                <a:ext uri="{FF2B5EF4-FFF2-40B4-BE49-F238E27FC236}">
                  <a16:creationId xmlns:a16="http://schemas.microsoft.com/office/drawing/2014/main" id="{D29505CE-53A3-7C01-FF36-E191C2EA06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有無主板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7340" y="8572501"/>
              <a:ext cx="1828800" cy="982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350520</xdr:colOff>
      <xdr:row>41</xdr:row>
      <xdr:rowOff>68580</xdr:rowOff>
    </xdr:from>
    <xdr:to>
      <xdr:col>10</xdr:col>
      <xdr:colOff>350520</xdr:colOff>
      <xdr:row>46</xdr:row>
      <xdr:rowOff>45719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有無軸承 1">
              <a:extLst>
                <a:ext uri="{FF2B5EF4-FFF2-40B4-BE49-F238E27FC236}">
                  <a16:creationId xmlns:a16="http://schemas.microsoft.com/office/drawing/2014/main" id="{DCA0A3F4-FFAD-9E68-8D8E-0AF88B2274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有無軸承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4720" y="8503920"/>
              <a:ext cx="1828800" cy="1005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426720</xdr:colOff>
      <xdr:row>41</xdr:row>
      <xdr:rowOff>91441</xdr:rowOff>
    </xdr:from>
    <xdr:to>
      <xdr:col>13</xdr:col>
      <xdr:colOff>426720</xdr:colOff>
      <xdr:row>45</xdr:row>
      <xdr:rowOff>114301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輪子數">
              <a:extLst>
                <a:ext uri="{FF2B5EF4-FFF2-40B4-BE49-F238E27FC236}">
                  <a16:creationId xmlns:a16="http://schemas.microsoft.com/office/drawing/2014/main" id="{88FBEF93-D1C0-0F09-6E11-CB7C312B4D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輪子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89720" y="8526781"/>
              <a:ext cx="1828800" cy="845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22860</xdr:colOff>
      <xdr:row>1</xdr:row>
      <xdr:rowOff>68580</xdr:rowOff>
    </xdr:from>
    <xdr:to>
      <xdr:col>15</xdr:col>
      <xdr:colOff>698633</xdr:colOff>
      <xdr:row>9</xdr:row>
      <xdr:rowOff>122959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3692126-53A2-8EB9-3B11-37D5158D6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2540" y="274320"/>
          <a:ext cx="2894274" cy="29260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833280092593" createdVersion="8" refreshedVersion="8" minRefreshableVersion="3" recordCount="28" xr:uid="{71F4413D-15E4-4869-BFC4-5933E0DBD951}">
  <cacheSource type="worksheet">
    <worksheetSource name="表格14"/>
  </cacheSource>
  <cacheFields count="41">
    <cacheField name="測試組合" numFmtId="0">
      <sharedItems containsSemiMixedTypes="0" containsString="0" containsNumber="1" containsInteger="1" minValue="1" maxValue="28" count="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</sharedItems>
    </cacheField>
    <cacheField name="傳動比" numFmtId="0">
      <sharedItems count="3">
        <s v="1:1"/>
        <s v="1:2"/>
        <s v="無齒輪"/>
      </sharedItems>
    </cacheField>
    <cacheField name="齒輪單雙側傳動" numFmtId="0">
      <sharedItems count="3">
        <s v="雙"/>
        <s v="單"/>
        <s v="無齒輪"/>
      </sharedItems>
    </cacheField>
    <cacheField name="齒輪數量" numFmtId="0">
      <sharedItems count="3">
        <s v="3個"/>
        <s v="2個"/>
        <s v="無齒輪"/>
      </sharedItems>
    </cacheField>
    <cacheField name="輪子數" numFmtId="0">
      <sharedItems count="2">
        <s v="4輪"/>
        <s v="3輪"/>
      </sharedItems>
    </cacheField>
    <cacheField name="前輪直徑" numFmtId="0">
      <sharedItems/>
    </cacheField>
    <cacheField name="後輪直徑" numFmtId="0">
      <sharedItems/>
    </cacheField>
    <cacheField name="輪子厚度" numFmtId="0">
      <sharedItems/>
    </cacheField>
    <cacheField name="驅動位置" numFmtId="0">
      <sharedItems count="2">
        <s v="前驅"/>
        <s v="後驅"/>
      </sharedItems>
    </cacheField>
    <cacheField name="有無主板" numFmtId="0">
      <sharedItems count="2">
        <s v="有"/>
        <s v="無"/>
      </sharedItems>
    </cacheField>
    <cacheField name="有無軸承" numFmtId="0">
      <sharedItems count="2">
        <s v="無"/>
        <s v="有"/>
      </sharedItems>
    </cacheField>
    <cacheField name="負重0g(1)" numFmtId="0">
      <sharedItems containsSemiMixedTypes="0" containsString="0" containsNumber="1" minValue="499" maxValue="1337"/>
    </cacheField>
    <cacheField name="負重0g(2)" numFmtId="0">
      <sharedItems containsSemiMixedTypes="0" containsString="0" containsNumber="1" minValue="531" maxValue="1298"/>
    </cacheField>
    <cacheField name="負重0g(3)" numFmtId="0">
      <sharedItems containsSemiMixedTypes="0" containsString="0" containsNumber="1" minValue="502" maxValue="1270"/>
    </cacheField>
    <cacheField name="負重50g(1)" numFmtId="0">
      <sharedItems containsSemiMixedTypes="0" containsString="0" containsNumber="1" minValue="458" maxValue="1088"/>
    </cacheField>
    <cacheField name="負重50g(2)" numFmtId="0">
      <sharedItems containsSemiMixedTypes="0" containsString="0" containsNumber="1" minValue="458.5" maxValue="1086"/>
    </cacheField>
    <cacheField name="負重100g(1)" numFmtId="0">
      <sharedItems containsSemiMixedTypes="0" containsString="0" containsNumber="1" minValue="463" maxValue="900"/>
    </cacheField>
    <cacheField name="負重100g(2)" numFmtId="0">
      <sharedItems containsSemiMixedTypes="0" containsString="0" containsNumber="1" minValue="369" maxValue="918"/>
    </cacheField>
    <cacheField name="負重150g(1)" numFmtId="0">
      <sharedItems containsSemiMixedTypes="0" containsString="0" containsNumber="1" minValue="325" maxValue="875"/>
    </cacheField>
    <cacheField name="負重150g(2)" numFmtId="0">
      <sharedItems containsSemiMixedTypes="0" containsString="0" containsNumber="1" minValue="340" maxValue="880"/>
    </cacheField>
    <cacheField name="平均值0g" numFmtId="2">
      <sharedItems containsSemiMixedTypes="0" containsString="0" containsNumber="1" minValue="514" maxValue="1272.6666666666667"/>
    </cacheField>
    <cacheField name="平均值50g" numFmtId="2">
      <sharedItems containsSemiMixedTypes="0" containsString="0" containsNumber="1" minValue="458.25" maxValue="1087"/>
    </cacheField>
    <cacheField name="平均值100g" numFmtId="2">
      <sharedItems containsSemiMixedTypes="0" containsString="0" containsNumber="1" minValue="447" maxValue="909"/>
    </cacheField>
    <cacheField name="平均值150g" numFmtId="2">
      <sharedItems containsSemiMixedTypes="0" containsString="0" containsNumber="1" minValue="332.5" maxValue="877.5"/>
    </cacheField>
    <cacheField name="有負重平均值" numFmtId="2">
      <sharedItems containsSemiMixedTypes="0" containsString="0" containsNumber="1" minValue="447.5" maxValue="856.16666666666663"/>
    </cacheField>
    <cacheField name="全部平均值" numFmtId="2">
      <sharedItems containsSemiMixedTypes="0" containsString="0" containsNumber="1" minValue="479.05555555555554" maxValue="881.33333333333337"/>
    </cacheField>
    <cacheField name="標準差0g" numFmtId="2">
      <sharedItems containsSemiMixedTypes="0" containsString="0" containsNumber="1" minValue="5.0332229568471663" maxValue="199.22600231897442"/>
    </cacheField>
    <cacheField name="標準差50g" numFmtId="2">
      <sharedItems containsSemiMixedTypes="0" containsString="0" containsNumber="1" minValue="0.35355339059327379" maxValue="69.296464556281663"/>
    </cacheField>
    <cacheField name="標準差100g" numFmtId="2">
      <sharedItems containsSemiMixedTypes="0" containsString="0" containsNumber="1" minValue="0.35355339059327379" maxValue="173.24116139070415"/>
    </cacheField>
    <cacheField name="標準差150g" numFmtId="2">
      <sharedItems containsSemiMixedTypes="0" containsString="0" containsNumber="1" minValue="0.70710678118654757" maxValue="77.074639149333677"/>
    </cacheField>
    <cacheField name="有負重標準差平均" numFmtId="2">
      <sharedItems containsSemiMixedTypes="0" containsString="0" containsNumber="1" minValue="3.2998316455372216" maxValue="61.753992223625154"/>
    </cacheField>
    <cacheField name="全部標準差平均" numFmtId="0">
      <sharedItems containsSemiMixedTypes="0" containsString="0" containsNumber="1" minValue="7.4409060716211766" maxValue="96.12199474746248"/>
    </cacheField>
    <cacheField name="SN ratio 0g" numFmtId="0">
      <sharedItems containsSemiMixedTypes="0" containsString="0" containsNumber="1" minValue="54.206628364896929" maxValue="62.094072493073675"/>
    </cacheField>
    <cacheField name="全部負重SN ratio" numFmtId="176">
      <sharedItems containsSemiMixedTypes="0" containsString="0" containsNumber="1" minValue="27.79347027505839" maxValue="58.794697925072299"/>
    </cacheField>
    <cacheField name="完成度" numFmtId="10">
      <sharedItems containsSemiMixedTypes="0" containsString="0" containsNumber="1" minValue="0" maxValue="1"/>
    </cacheField>
    <cacheField name="有負重平均排名" numFmtId="0">
      <sharedItems containsSemiMixedTypes="0" containsString="0" containsNumber="1" containsInteger="1" minValue="1" maxValue="28"/>
    </cacheField>
    <cacheField name="全部平均排名" numFmtId="0">
      <sharedItems containsSemiMixedTypes="0" containsString="0" containsNumber="1" containsInteger="1" minValue="1" maxValue="28"/>
    </cacheField>
    <cacheField name="有負重標準差排名" numFmtId="1">
      <sharedItems containsSemiMixedTypes="0" containsString="0" containsNumber="1" containsInteger="1" minValue="1" maxValue="28"/>
    </cacheField>
    <cacheField name="全部標準差排名" numFmtId="1">
      <sharedItems containsSemiMixedTypes="0" containsString="0" containsNumber="1" containsInteger="1" minValue="1" maxValue="28"/>
    </cacheField>
    <cacheField name="全部SN ratio 排名" numFmtId="0">
      <sharedItems containsSemiMixedTypes="0" containsString="0" containsNumber="1" containsInteger="1" minValue="1" maxValue="28"/>
    </cacheField>
    <cacheField name="綜合排名" numFmtId="0">
      <sharedItems containsSemiMixedTypes="0" containsString="0" containsNumber="1" minValue="3.4" maxValue="22.8"/>
    </cacheField>
  </cacheFields>
  <extLst>
    <ext xmlns:x14="http://schemas.microsoft.com/office/spreadsheetml/2009/9/main" uri="{725AE2AE-9491-48be-B2B4-4EB974FC3084}">
      <x14:pivotCacheDefinition pivotCacheId="13339564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x v="0"/>
    <s v="大(45mm)"/>
    <s v="大(45mm)"/>
    <s v="單(3.5mm)"/>
    <x v="0"/>
    <x v="0"/>
    <x v="0"/>
    <n v="732"/>
    <n v="716"/>
    <n v="632"/>
    <n v="557"/>
    <n v="596"/>
    <n v="562.20000000000005"/>
    <n v="500"/>
    <n v="526.5"/>
    <n v="490"/>
    <n v="693.33333333333337"/>
    <n v="576.5"/>
    <n v="531.1"/>
    <n v="508.25"/>
    <n v="538.61666666666667"/>
    <n v="590.18888888888887"/>
    <n v="53.715298875956492"/>
    <n v="27.577164466275352"/>
    <n v="43.98204178980329"/>
    <n v="25.809397513308983"/>
    <n v="32.456201256462542"/>
    <n v="37.770975661336031"/>
    <n v="56.76368760628251"/>
    <n v="55.181563127008701"/>
    <n v="0.33333333333333331"/>
    <n v="22"/>
    <n v="23"/>
    <n v="22"/>
    <n v="20"/>
    <n v="18"/>
    <n v="21"/>
  </r>
  <r>
    <x v="1"/>
    <x v="0"/>
    <x v="0"/>
    <x v="0"/>
    <x v="1"/>
    <s v="小(35mm)"/>
    <s v="小(35mm)"/>
    <s v="雙(7mm)"/>
    <x v="0"/>
    <x v="0"/>
    <x v="0"/>
    <n v="499"/>
    <n v="536.5"/>
    <n v="506.5"/>
    <n v="540"/>
    <n v="499"/>
    <n v="481.5"/>
    <n v="489"/>
    <n v="343"/>
    <n v="417"/>
    <n v="514"/>
    <n v="519.5"/>
    <n v="485.25"/>
    <n v="380"/>
    <n v="461.58333333333331"/>
    <n v="479.05555555555554"/>
    <n v="19.843134832984429"/>
    <n v="28.991378028648448"/>
    <n v="5.3033008588991066"/>
    <n v="52.32590180780452"/>
    <n v="28.873526898450692"/>
    <n v="26.615928882084127"/>
    <n v="54.206628364896929"/>
    <n v="53.353621350285856"/>
    <n v="0.33333333333333331"/>
    <n v="27"/>
    <n v="28"/>
    <n v="19"/>
    <n v="14"/>
    <n v="26"/>
    <n v="22.8"/>
  </r>
  <r>
    <x v="2"/>
    <x v="0"/>
    <x v="0"/>
    <x v="1"/>
    <x v="0"/>
    <s v="大(45mm)"/>
    <s v="小(35mm)"/>
    <s v="雙(7mm)"/>
    <x v="1"/>
    <x v="0"/>
    <x v="0"/>
    <n v="562"/>
    <n v="563.5"/>
    <n v="502"/>
    <n v="458"/>
    <n v="458.5"/>
    <n v="531"/>
    <n v="484"/>
    <n v="495"/>
    <n v="430"/>
    <n v="542.5"/>
    <n v="458.25"/>
    <n v="507.5"/>
    <n v="462.5"/>
    <n v="476.08333333333331"/>
    <n v="498.22222222222223"/>
    <n v="35.082046690579496"/>
    <n v="0.35355339059327379"/>
    <n v="33.234018715767732"/>
    <n v="45.961940777125591"/>
    <n v="26.516504294495533"/>
    <n v="28.657889893516526"/>
    <n v="54.649761899621836"/>
    <n v="53.847199708133587"/>
    <n v="0.88888888888888884"/>
    <n v="26"/>
    <n v="27"/>
    <n v="15"/>
    <n v="15"/>
    <n v="24"/>
    <n v="21.4"/>
  </r>
  <r>
    <x v="3"/>
    <x v="0"/>
    <x v="0"/>
    <x v="1"/>
    <x v="1"/>
    <s v="小(35mm)"/>
    <s v="大(45mm)"/>
    <s v="單(3.5mm)"/>
    <x v="1"/>
    <x v="0"/>
    <x v="0"/>
    <n v="756"/>
    <n v="668"/>
    <n v="702.5"/>
    <n v="565"/>
    <n v="572"/>
    <n v="508"/>
    <n v="503.5"/>
    <n v="489"/>
    <n v="387"/>
    <n v="708.83333333333337"/>
    <n v="568.5"/>
    <n v="505.75"/>
    <n v="438"/>
    <n v="504.08333333333331"/>
    <n v="572.33333333333337"/>
    <n v="44.340538261655475"/>
    <n v="4.9497474683058327"/>
    <n v="3.1819805153394638"/>
    <n v="72.124891681027847"/>
    <n v="26.752206554891046"/>
    <n v="31.149289481582151"/>
    <n v="56.977401764888228"/>
    <n v="54.645018172914803"/>
    <n v="0.33333333333333331"/>
    <n v="23"/>
    <n v="24"/>
    <n v="17"/>
    <n v="16"/>
    <n v="21"/>
    <n v="20.2"/>
  </r>
  <r>
    <x v="4"/>
    <x v="0"/>
    <x v="1"/>
    <x v="0"/>
    <x v="0"/>
    <s v="小(35mm)"/>
    <s v="大(45mm)"/>
    <s v="雙(7mm)"/>
    <x v="0"/>
    <x v="0"/>
    <x v="0"/>
    <n v="627"/>
    <n v="586"/>
    <n v="600"/>
    <n v="487"/>
    <n v="531"/>
    <n v="463"/>
    <n v="431"/>
    <n v="382"/>
    <n v="391"/>
    <n v="604.33333333333337"/>
    <n v="509"/>
    <n v="447"/>
    <n v="386.5"/>
    <n v="447.5"/>
    <n v="499.77777777777777"/>
    <n v="20.840665376454112"/>
    <n v="31.11269837220809"/>
    <n v="22.627416997969522"/>
    <n v="6.3639610306789276"/>
    <n v="20.034692133618847"/>
    <n v="20.23618544432766"/>
    <n v="55.615334988420258"/>
    <n v="53.583211656764156"/>
    <n v="0.66666666666666663"/>
    <n v="28"/>
    <n v="26"/>
    <n v="10"/>
    <n v="6"/>
    <n v="25"/>
    <n v="19"/>
  </r>
  <r>
    <x v="5"/>
    <x v="0"/>
    <x v="1"/>
    <x v="0"/>
    <x v="1"/>
    <s v="大(45mm)"/>
    <s v="小(35mm)"/>
    <s v="單(3.5mm)"/>
    <x v="0"/>
    <x v="0"/>
    <x v="0"/>
    <n v="756"/>
    <n v="531"/>
    <n v="720"/>
    <n v="625"/>
    <n v="723"/>
    <n v="570.5"/>
    <n v="583"/>
    <n v="505"/>
    <n v="503"/>
    <n v="669"/>
    <n v="674"/>
    <n v="576.75"/>
    <n v="504"/>
    <n v="584.91666666666663"/>
    <n v="612.94444444444446"/>
    <n v="120.85942247090212"/>
    <n v="69.296464556281663"/>
    <n v="8.8388347648318444"/>
    <n v="1.4142135623730951"/>
    <n v="26.516504294495533"/>
    <n v="50.102233838597186"/>
    <n v="56.182669825142199"/>
    <n v="55.462309898522705"/>
    <n v="0.66666666666666663"/>
    <n v="16"/>
    <n v="22"/>
    <n v="15"/>
    <n v="23"/>
    <n v="17"/>
    <n v="18.600000000000001"/>
  </r>
  <r>
    <x v="6"/>
    <x v="0"/>
    <x v="1"/>
    <x v="1"/>
    <x v="0"/>
    <s v="小(35mm)"/>
    <s v="小(35mm)"/>
    <s v="單(3.5mm)"/>
    <x v="1"/>
    <x v="0"/>
    <x v="0"/>
    <n v="591"/>
    <n v="599.5"/>
    <n v="583"/>
    <n v="529"/>
    <n v="495"/>
    <n v="523"/>
    <n v="501"/>
    <n v="456.5"/>
    <n v="491"/>
    <n v="591.16666666666663"/>
    <n v="512"/>
    <n v="512"/>
    <n v="473.75"/>
    <n v="499.25"/>
    <n v="529.88888888888891"/>
    <n v="8.2512625296577102"/>
    <n v="24.041630560342615"/>
    <n v="15.556349186104045"/>
    <n v="24.395183950935891"/>
    <n v="21.331054565794187"/>
    <n v="18.061106556760066"/>
    <n v="55.432507359895247"/>
    <n v="54.379869422018771"/>
    <n v="0.66666666666666663"/>
    <n v="24"/>
    <n v="25"/>
    <n v="12"/>
    <n v="4"/>
    <n v="22"/>
    <n v="17.399999999999999"/>
  </r>
  <r>
    <x v="7"/>
    <x v="0"/>
    <x v="1"/>
    <x v="1"/>
    <x v="1"/>
    <s v="大(45mm)"/>
    <s v="大(45mm)"/>
    <s v="雙(7mm)"/>
    <x v="1"/>
    <x v="0"/>
    <x v="0"/>
    <n v="762"/>
    <n v="772"/>
    <n v="743"/>
    <n v="634"/>
    <n v="632"/>
    <n v="577"/>
    <n v="577.5"/>
    <n v="511.5"/>
    <n v="552.5"/>
    <n v="759"/>
    <n v="633"/>
    <n v="577.25"/>
    <n v="532"/>
    <n v="580.75"/>
    <n v="640.16666666666663"/>
    <n v="14.730919862656235"/>
    <n v="1.4142135623730951"/>
    <n v="0.35355339059327379"/>
    <n v="28.991378028648448"/>
    <n v="10.253048327204938"/>
    <n v="11.372516211067762"/>
    <n v="57.601538071738517"/>
    <n v="55.868273364595581"/>
    <n v="0.55555555555555558"/>
    <n v="18"/>
    <n v="20"/>
    <n v="6"/>
    <n v="2"/>
    <n v="13"/>
    <n v="11.8"/>
  </r>
  <r>
    <x v="8"/>
    <x v="1"/>
    <x v="0"/>
    <x v="0"/>
    <x v="0"/>
    <s v="大(45mm)"/>
    <s v="大(45mm)"/>
    <s v="雙(7mm)"/>
    <x v="0"/>
    <x v="0"/>
    <x v="0"/>
    <n v="773"/>
    <n v="834"/>
    <n v="858"/>
    <n v="675"/>
    <n v="641"/>
    <n v="611"/>
    <n v="520"/>
    <n v="514"/>
    <n v="486"/>
    <n v="821.66666666666663"/>
    <n v="658"/>
    <n v="565.5"/>
    <n v="500"/>
    <n v="574.5"/>
    <n v="656.88888888888891"/>
    <n v="43.821608064211127"/>
    <n v="24.041630560342615"/>
    <n v="64.346717087975819"/>
    <n v="19.798989873223331"/>
    <n v="36.062445840513924"/>
    <n v="38.002236396438221"/>
    <n v="58.268476730885972"/>
    <n v="55.832863189330794"/>
    <n v="0"/>
    <n v="19"/>
    <n v="19"/>
    <n v="24"/>
    <n v="21"/>
    <n v="14"/>
    <n v="19.399999999999999"/>
  </r>
  <r>
    <x v="9"/>
    <x v="1"/>
    <x v="0"/>
    <x v="0"/>
    <x v="1"/>
    <s v="小(35mm)"/>
    <s v="小(35mm)"/>
    <s v="單(3.5mm)"/>
    <x v="0"/>
    <x v="0"/>
    <x v="0"/>
    <n v="1088"/>
    <n v="983"/>
    <n v="1010"/>
    <n v="967"/>
    <n v="943.5"/>
    <n v="578"/>
    <n v="572"/>
    <n v="328"/>
    <n v="348.5"/>
    <n v="1027"/>
    <n v="955.25"/>
    <n v="575"/>
    <n v="338.25"/>
    <n v="622.83333333333337"/>
    <n v="757.55555555555554"/>
    <n v="54.52522352086234"/>
    <n v="16.617009357883866"/>
    <n v="4.2426406871192848"/>
    <n v="14.495689014324224"/>
    <n v="11.785113019775793"/>
    <n v="22.470140645047429"/>
    <n v="60.207612384576393"/>
    <n v="54.97404103760352"/>
    <n v="0.55555555555555558"/>
    <n v="14"/>
    <n v="14"/>
    <n v="7"/>
    <n v="10"/>
    <n v="20"/>
    <n v="13"/>
  </r>
  <r>
    <x v="10"/>
    <x v="1"/>
    <x v="0"/>
    <x v="1"/>
    <x v="0"/>
    <s v="大(45mm)"/>
    <s v="小(35mm)"/>
    <s v="單(3.5mm)"/>
    <x v="1"/>
    <x v="0"/>
    <x v="0"/>
    <n v="1006"/>
    <n v="1124"/>
    <n v="1132"/>
    <n v="1005"/>
    <n v="991"/>
    <n v="810"/>
    <n v="623"/>
    <n v="596.5"/>
    <n v="618"/>
    <n v="1087.3333333333333"/>
    <n v="998"/>
    <n v="716.5"/>
    <n v="607.25"/>
    <n v="773.91666666666663"/>
    <n v="878.38888888888891"/>
    <n v="70.550218520804975"/>
    <n v="9.8994949366116654"/>
    <n v="132.22896808188437"/>
    <n v="15.202795795510772"/>
    <n v="52.44375293800227"/>
    <n v="56.970369333702948"/>
    <n v="60.688780723368993"/>
    <n v="58.050926048103165"/>
    <n v="0.55555555555555558"/>
    <n v="4"/>
    <n v="2"/>
    <n v="27"/>
    <n v="25"/>
    <n v="5"/>
    <n v="12.6"/>
  </r>
  <r>
    <x v="11"/>
    <x v="1"/>
    <x v="0"/>
    <x v="1"/>
    <x v="1"/>
    <s v="小(35mm)"/>
    <s v="大(45mm)"/>
    <s v="雙(7mm)"/>
    <x v="1"/>
    <x v="0"/>
    <x v="0"/>
    <n v="1337"/>
    <n v="1295"/>
    <n v="989"/>
    <n v="497"/>
    <n v="528"/>
    <n v="475"/>
    <n v="467"/>
    <n v="454"/>
    <n v="469"/>
    <n v="1207"/>
    <n v="512.5"/>
    <n v="471"/>
    <n v="461.5"/>
    <n v="481.66666666666669"/>
    <n v="723.44444444444446"/>
    <n v="189.9578900704048"/>
    <n v="21.920310216782973"/>
    <n v="5.6568542494923806"/>
    <n v="10.606601717798213"/>
    <n v="12.727922061357853"/>
    <n v="57.035414063619591"/>
    <n v="61.390471492212981"/>
    <n v="55.035495130368382"/>
    <n v="0.22222222222222221"/>
    <n v="25"/>
    <n v="17"/>
    <n v="8"/>
    <n v="26"/>
    <n v="19"/>
    <n v="19"/>
  </r>
  <r>
    <x v="12"/>
    <x v="1"/>
    <x v="1"/>
    <x v="0"/>
    <x v="0"/>
    <s v="小(35mm)"/>
    <s v="大(45mm)"/>
    <s v="單(3.5mm)"/>
    <x v="0"/>
    <x v="0"/>
    <x v="0"/>
    <n v="763"/>
    <n v="817"/>
    <n v="790"/>
    <n v="594.5"/>
    <n v="622"/>
    <n v="549"/>
    <n v="553"/>
    <n v="480"/>
    <n v="520"/>
    <n v="790"/>
    <n v="608.25"/>
    <n v="551"/>
    <n v="500"/>
    <n v="553.08333333333337"/>
    <n v="632.05555555555554"/>
    <n v="27"/>
    <n v="19.445436482630058"/>
    <n v="2.8284271247461903"/>
    <n v="28.284271247461902"/>
    <n v="16.852711618279383"/>
    <n v="19.38953371370954"/>
    <n v="57.942388088743584"/>
    <n v="55.587641503410339"/>
    <n v="0"/>
    <n v="20"/>
    <n v="21"/>
    <n v="9"/>
    <n v="5"/>
    <n v="16"/>
    <n v="14.2"/>
  </r>
  <r>
    <x v="13"/>
    <x v="1"/>
    <x v="1"/>
    <x v="0"/>
    <x v="1"/>
    <s v="大(45mm)"/>
    <s v="小(35mm)"/>
    <s v="雙(7mm)"/>
    <x v="0"/>
    <x v="0"/>
    <x v="0"/>
    <n v="825"/>
    <n v="908"/>
    <n v="1204"/>
    <n v="1088"/>
    <n v="1086"/>
    <n v="614"/>
    <n v="369"/>
    <n v="325"/>
    <n v="340"/>
    <n v="979"/>
    <n v="1087"/>
    <n v="491.5"/>
    <n v="332.5"/>
    <n v="637"/>
    <n v="751"/>
    <n v="199.22600231897442"/>
    <n v="1.4142135623730951"/>
    <n v="173.24116139070415"/>
    <n v="10.606601717798213"/>
    <n v="61.753992223625154"/>
    <n v="96.12199474746248"/>
    <n v="59.49235629835858"/>
    <n v="54.33373675155017"/>
    <n v="0.33333333333333331"/>
    <n v="11"/>
    <n v="15"/>
    <n v="28"/>
    <n v="28"/>
    <n v="23"/>
    <n v="21"/>
  </r>
  <r>
    <x v="14"/>
    <x v="1"/>
    <x v="1"/>
    <x v="1"/>
    <x v="0"/>
    <s v="小(35mm)"/>
    <s v="小(35mm)"/>
    <s v="雙(7mm)"/>
    <x v="1"/>
    <x v="0"/>
    <x v="0"/>
    <n v="945"/>
    <n v="1046"/>
    <n v="983"/>
    <n v="975"/>
    <n v="1004"/>
    <n v="635"/>
    <n v="603.5"/>
    <n v="491"/>
    <n v="560"/>
    <n v="991.33333333333337"/>
    <n v="989.5"/>
    <n v="619.25"/>
    <n v="525.5"/>
    <n v="711.41666666666663"/>
    <n v="804.72222222222217"/>
    <n v="51.013070220614381"/>
    <n v="20.506096654409877"/>
    <n v="22.273863607376246"/>
    <n v="48.790367901871782"/>
    <n v="30.5234427212193"/>
    <n v="35.645849596068068"/>
    <n v="59.901729878618546"/>
    <n v="57.068816284107164"/>
    <n v="0.44444444444444442"/>
    <n v="8"/>
    <n v="9"/>
    <n v="21"/>
    <n v="19"/>
    <n v="9"/>
    <n v="13.2"/>
  </r>
  <r>
    <x v="15"/>
    <x v="1"/>
    <x v="1"/>
    <x v="1"/>
    <x v="1"/>
    <s v="大(45mm)"/>
    <s v="大(45mm)"/>
    <s v="單(3.5mm)"/>
    <x v="1"/>
    <x v="0"/>
    <x v="0"/>
    <n v="1328"/>
    <n v="1207"/>
    <n v="1074"/>
    <n v="745"/>
    <n v="746"/>
    <n v="554"/>
    <n v="562"/>
    <n v="505"/>
    <n v="396"/>
    <n v="1203"/>
    <n v="745.5"/>
    <n v="558"/>
    <n v="450.5"/>
    <n v="584.66666666666663"/>
    <n v="790.77777777777783"/>
    <n v="127.04723531033645"/>
    <n v="0.70710678118654757"/>
    <n v="5.6568542494923806"/>
    <n v="77.074639149333677"/>
    <n v="27.812866726670865"/>
    <n v="52.621458872587262"/>
    <n v="61.507065593537959"/>
    <n v="56.031920977410827"/>
    <n v="0.33333333333333331"/>
    <n v="17"/>
    <n v="11"/>
    <n v="18"/>
    <n v="24"/>
    <n v="12"/>
    <n v="16.399999999999999"/>
  </r>
  <r>
    <x v="16"/>
    <x v="1"/>
    <x v="1"/>
    <x v="1"/>
    <x v="0"/>
    <s v="大(45mm)"/>
    <s v="大(45mm)"/>
    <s v="單(3.5mm)"/>
    <x v="1"/>
    <x v="0"/>
    <x v="0"/>
    <n v="1127"/>
    <n v="1298"/>
    <n v="1016"/>
    <n v="809"/>
    <n v="744"/>
    <n v="628"/>
    <n v="549"/>
    <n v="514"/>
    <n v="475"/>
    <n v="1147"/>
    <n v="776.5"/>
    <n v="588.5"/>
    <n v="494.5"/>
    <n v="619.83333333333337"/>
    <n v="795.55555555555554"/>
    <n v="142.05984654363104"/>
    <n v="45.961940777125591"/>
    <n v="55.861435713737258"/>
    <n v="27.577164466275352"/>
    <n v="43.133513652379399"/>
    <n v="67.865096875192307"/>
    <n v="61.061246611569935"/>
    <n v="56.585709641539665"/>
    <n v="0.22222222222222199"/>
    <n v="15"/>
    <n v="10"/>
    <n v="25"/>
    <n v="27"/>
    <n v="11"/>
    <n v="17.600000000000001"/>
  </r>
  <r>
    <x v="17"/>
    <x v="2"/>
    <x v="2"/>
    <x v="2"/>
    <x v="0"/>
    <s v="大(45mm)"/>
    <s v="大(45mm)"/>
    <s v="單(3.5mm)"/>
    <x v="1"/>
    <x v="0"/>
    <x v="0"/>
    <n v="1048"/>
    <n v="1072"/>
    <n v="1018"/>
    <n v="808"/>
    <n v="804"/>
    <n v="732"/>
    <n v="733"/>
    <n v="660"/>
    <n v="682"/>
    <n v="1046"/>
    <n v="806"/>
    <n v="732.5"/>
    <n v="671"/>
    <n v="736.5"/>
    <n v="839.66666666666663"/>
    <n v="27.055498516937366"/>
    <n v="2.8284271247461903"/>
    <n v="0.70710678118654757"/>
    <n v="15.556349186104045"/>
    <n v="6.3639610306789267"/>
    <n v="11.536845402243538"/>
    <n v="60.384797840427268"/>
    <n v="58.08193299495813"/>
    <n v="1"/>
    <n v="6"/>
    <n v="6"/>
    <n v="2"/>
    <n v="3"/>
    <n v="4"/>
    <n v="4.2"/>
  </r>
  <r>
    <x v="18"/>
    <x v="2"/>
    <x v="2"/>
    <x v="2"/>
    <x v="0"/>
    <s v="小(35mm)"/>
    <s v="小(35mm)"/>
    <s v="單(3.5mm)"/>
    <x v="1"/>
    <x v="0"/>
    <x v="0"/>
    <n v="828"/>
    <n v="854"/>
    <n v="840"/>
    <n v="673"/>
    <n v="683"/>
    <n v="617"/>
    <n v="650"/>
    <n v="606"/>
    <n v="552"/>
    <n v="840.66666666666663"/>
    <n v="678"/>
    <n v="633.5"/>
    <n v="579"/>
    <n v="630.16666666666663"/>
    <n v="700.33333333333337"/>
    <n v="13.012814197295423"/>
    <n v="7.0710678118654755"/>
    <n v="23.334523779156068"/>
    <n v="38.183766184073569"/>
    <n v="22.863119258365035"/>
    <n v="20.400542993097634"/>
    <n v="58.490398332996193"/>
    <n v="56.620503731660662"/>
    <n v="1"/>
    <n v="13"/>
    <n v="18"/>
    <n v="13"/>
    <n v="7"/>
    <n v="10"/>
    <n v="12.2"/>
  </r>
  <r>
    <x v="19"/>
    <x v="2"/>
    <x v="2"/>
    <x v="2"/>
    <x v="0"/>
    <s v="大(45mm)"/>
    <s v="小(35mm)"/>
    <s v="單(3.5mm)"/>
    <x v="0"/>
    <x v="0"/>
    <x v="0"/>
    <n v="1188.5"/>
    <n v="1140"/>
    <n v="1012"/>
    <n v="783"/>
    <n v="793"/>
    <n v="719"/>
    <n v="716"/>
    <n v="601"/>
    <n v="600"/>
    <n v="1113.5"/>
    <n v="788"/>
    <n v="717.5"/>
    <n v="600.5"/>
    <n v="702"/>
    <n v="839.16666666666663"/>
    <n v="91.185251000367373"/>
    <n v="7.0710678118654755"/>
    <n v="2.1213203435596424"/>
    <n v="0.70710678118654757"/>
    <n v="3.2998316455372216"/>
    <n v="25.271186484244762"/>
    <n v="60.872748083966158"/>
    <n v="57.750798148684986"/>
    <n v="1"/>
    <n v="9"/>
    <n v="7"/>
    <n v="1"/>
    <n v="13"/>
    <n v="7"/>
    <n v="7.4"/>
  </r>
  <r>
    <x v="20"/>
    <x v="2"/>
    <x v="2"/>
    <x v="2"/>
    <x v="0"/>
    <s v="小(35mm)"/>
    <s v="大(45mm)"/>
    <s v="單(3.5mm)"/>
    <x v="0"/>
    <x v="0"/>
    <x v="0"/>
    <n v="1033"/>
    <n v="991.5"/>
    <n v="989.5"/>
    <n v="720"/>
    <n v="704"/>
    <n v="600"/>
    <n v="671"/>
    <n v="609"/>
    <n v="611"/>
    <n v="1004.6666666666666"/>
    <n v="712"/>
    <n v="635.5"/>
    <n v="610"/>
    <n v="652.5"/>
    <n v="769.88888888888891"/>
    <n v="24.55775505483621"/>
    <n v="11.313708498984761"/>
    <n v="50.204581464244875"/>
    <n v="1.4142135623730951"/>
    <n v="20.97750117520091"/>
    <n v="21.872564645109737"/>
    <n v="60.035344988353359"/>
    <n v="57.162933134788815"/>
    <n v="1"/>
    <n v="10"/>
    <n v="13"/>
    <n v="11"/>
    <n v="9"/>
    <n v="8"/>
    <n v="10.199999999999999"/>
  </r>
  <r>
    <x v="21"/>
    <x v="2"/>
    <x v="2"/>
    <x v="2"/>
    <x v="0"/>
    <s v="大(45mm)"/>
    <s v="大(45mm)"/>
    <s v="單(3.5mm)"/>
    <x v="0"/>
    <x v="0"/>
    <x v="0"/>
    <n v="975"/>
    <n v="1186"/>
    <n v="1032"/>
    <n v="857"/>
    <n v="860"/>
    <n v="740"/>
    <n v="764"/>
    <n v="706"/>
    <n v="717"/>
    <n v="1064.3333333333333"/>
    <n v="858.5"/>
    <n v="752"/>
    <n v="711.5"/>
    <n v="774"/>
    <n v="870.77777777777783"/>
    <n v="109.15279810125497"/>
    <n v="2.1213203435596424"/>
    <n v="16.970562748477139"/>
    <n v="7.7781745930520225"/>
    <n v="8.9566858950296009"/>
    <n v="34.005713946585949"/>
    <n v="60.454645725678859"/>
    <n v="58.434406197187059"/>
    <n v="1"/>
    <n v="3"/>
    <n v="4"/>
    <n v="5"/>
    <n v="18"/>
    <n v="2"/>
    <n v="6.4"/>
  </r>
  <r>
    <x v="22"/>
    <x v="2"/>
    <x v="2"/>
    <x v="2"/>
    <x v="0"/>
    <s v="大(45mm)"/>
    <s v="大(45mm)"/>
    <s v="單(3.5mm)"/>
    <x v="0"/>
    <x v="1"/>
    <x v="0"/>
    <n v="1107"/>
    <n v="1157"/>
    <n v="1127"/>
    <n v="854"/>
    <n v="811"/>
    <n v="765"/>
    <n v="713"/>
    <n v="700"/>
    <n v="698"/>
    <n v="1130.3333333333333"/>
    <n v="832.5"/>
    <n v="739"/>
    <n v="699"/>
    <n v="756.83333333333337"/>
    <n v="881.33333333333337"/>
    <n v="25.166114784235834"/>
    <n v="30.405591591021544"/>
    <n v="36.76955262170047"/>
    <n v="1.4142135623730951"/>
    <n v="22.863119258365035"/>
    <n v="23.438868139832735"/>
    <n v="61.059848633876861"/>
    <n v="58.399290173584824"/>
    <n v="1"/>
    <n v="5"/>
    <n v="1"/>
    <n v="13"/>
    <n v="12"/>
    <n v="3"/>
    <n v="6.8"/>
  </r>
  <r>
    <x v="23"/>
    <x v="1"/>
    <x v="1"/>
    <x v="1"/>
    <x v="0"/>
    <s v="大(45mm)"/>
    <s v="大(45mm)"/>
    <s v="單(3.5mm)"/>
    <x v="1"/>
    <x v="1"/>
    <x v="0"/>
    <n v="1280"/>
    <n v="1268"/>
    <n v="1270"/>
    <n v="706"/>
    <n v="700"/>
    <n v="500"/>
    <n v="505"/>
    <n v="442"/>
    <n v="420"/>
    <n v="1272.6666666666667"/>
    <n v="703"/>
    <n v="502.5"/>
    <n v="431"/>
    <n v="545.5"/>
    <n v="787.88888888888891"/>
    <n v="6.429100507328636"/>
    <n v="4.2426406871192848"/>
    <n v="3.5355339059327378"/>
    <n v="15.556349186104045"/>
    <n v="7.7781745930520225"/>
    <n v="7.4409060716211766"/>
    <n v="62.094072493073675"/>
    <n v="55.631631534235936"/>
    <n v="0.33333333333333331"/>
    <n v="21"/>
    <n v="12"/>
    <n v="3"/>
    <n v="1"/>
    <n v="15"/>
    <n v="10.4"/>
  </r>
  <r>
    <x v="24"/>
    <x v="2"/>
    <x v="2"/>
    <x v="2"/>
    <x v="0"/>
    <s v="大(45mm)"/>
    <s v="大(45mm)"/>
    <s v="單(3.5mm)"/>
    <x v="0"/>
    <x v="1"/>
    <x v="1"/>
    <n v="887"/>
    <n v="880"/>
    <n v="987"/>
    <n v="789"/>
    <n v="775"/>
    <n v="900"/>
    <n v="918"/>
    <n v="875"/>
    <n v="880"/>
    <n v="918"/>
    <n v="782"/>
    <n v="909"/>
    <n v="877.5"/>
    <n v="856.16666666666663"/>
    <n v="876.77777777777783"/>
    <n v="59.858165691908738"/>
    <n v="9.8994949366116654"/>
    <n v="12.727922061357855"/>
    <n v="3.5355339059327378"/>
    <n v="8.7209836346340861"/>
    <n v="21.505279148952749"/>
    <n v="59.221648166906817"/>
    <n v="58.794697925072299"/>
    <n v="1"/>
    <n v="1"/>
    <n v="3"/>
    <n v="4"/>
    <n v="8"/>
    <n v="1"/>
    <n v="3.4"/>
  </r>
  <r>
    <x v="25"/>
    <x v="1"/>
    <x v="1"/>
    <x v="1"/>
    <x v="0"/>
    <s v="大(45mm)"/>
    <s v="大(45mm)"/>
    <s v="單(3.5mm)"/>
    <x v="1"/>
    <x v="1"/>
    <x v="1"/>
    <n v="910"/>
    <n v="980"/>
    <n v="1002"/>
    <n v="745"/>
    <n v="830"/>
    <n v="740"/>
    <n v="680"/>
    <n v="670"/>
    <n v="720"/>
    <n v="964"/>
    <n v="787.5"/>
    <n v="710"/>
    <n v="695"/>
    <n v="730.83333333333337"/>
    <n v="808.55555555555554"/>
    <n v="48.041648597857254"/>
    <n v="60.104076400856542"/>
    <n v="42.426406871192853"/>
    <n v="35.355339059327378"/>
    <n v="45.961940777125591"/>
    <n v="46.481867732308508"/>
    <n v="59.659295185444698"/>
    <n v="57.885946889885993"/>
    <n v="0"/>
    <n v="7"/>
    <n v="8"/>
    <n v="26"/>
    <n v="22"/>
    <n v="6"/>
    <n v="13.8"/>
  </r>
  <r>
    <x v="26"/>
    <x v="2"/>
    <x v="2"/>
    <x v="2"/>
    <x v="0"/>
    <s v="大(45mm)"/>
    <s v="大(45mm)"/>
    <s v="單(3.5mm)"/>
    <x v="0"/>
    <x v="0"/>
    <x v="1"/>
    <n v="883"/>
    <n v="877"/>
    <n v="887"/>
    <n v="820"/>
    <n v="830"/>
    <n v="872"/>
    <n v="818"/>
    <n v="875"/>
    <n v="816"/>
    <n v="882.33333333333337"/>
    <n v="825"/>
    <n v="845"/>
    <n v="845.5"/>
    <n v="838.5"/>
    <n v="853.11111111111109"/>
    <n v="5.0332229568471663"/>
    <n v="7.0710678118654755"/>
    <n v="38.183766184073569"/>
    <n v="41.719300090006307"/>
    <n v="28.991378028648452"/>
    <n v="23.001839260698127"/>
    <n v="58.912370660894297"/>
    <n v="27.79347027505839"/>
    <n v="1"/>
    <n v="2"/>
    <n v="5"/>
    <n v="20"/>
    <n v="11"/>
    <n v="28"/>
    <n v="13.2"/>
  </r>
  <r>
    <x v="27"/>
    <x v="1"/>
    <x v="1"/>
    <x v="1"/>
    <x v="0"/>
    <s v="大(45mm)"/>
    <s v="大(45mm)"/>
    <s v="單(3.5mm)"/>
    <x v="1"/>
    <x v="0"/>
    <x v="1"/>
    <n v="1000"/>
    <n v="948"/>
    <n v="980"/>
    <n v="892"/>
    <n v="920"/>
    <n v="572"/>
    <n v="505"/>
    <n v="440"/>
    <n v="487"/>
    <n v="976"/>
    <n v="906"/>
    <n v="538.5"/>
    <n v="463.5"/>
    <n v="636"/>
    <n v="749.33333333333337"/>
    <n v="26.229754097208001"/>
    <n v="19.798989873223331"/>
    <n v="47.376154339498683"/>
    <n v="33.234018715767732"/>
    <n v="33.469720976163252"/>
    <n v="31.659729256424438"/>
    <n v="59.78266968611662"/>
    <n v="33.107722632215491"/>
    <n v="0"/>
    <n v="12"/>
    <n v="16"/>
    <n v="23"/>
    <n v="17"/>
    <n v="27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80DCA-FD32-4F55-AD45-821091D55835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multipleFieldFilters="0" chartFormat="1">
  <location ref="A1:B22" firstHeaderRow="1" firstDataRow="1" firstDataCol="1"/>
  <pivotFields count="41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4">
        <item h="1" x="1"/>
        <item x="2"/>
        <item h="1"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numFmtId="176" showAll="0"/>
    <pivotField numFmtId="10" showAll="0"/>
    <pivotField showAll="0"/>
    <pivotField showAll="0"/>
    <pivotField numFmtId="1" showAll="0"/>
    <pivotField numFmtId="1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23"/>
    </i>
    <i>
      <x v="25"/>
    </i>
    <i>
      <x v="27"/>
    </i>
    <i t="grand">
      <x/>
    </i>
  </rowItems>
  <colItems count="1">
    <i/>
  </colItems>
  <dataFields count="1">
    <dataField name="平均值 - 全部平均值" fld="25" subtotal="average" baseField="0" baseItem="2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F1A23-D369-4524-A6F0-7E95410EEE22}" name="樞紐分析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multipleFieldFilters="0" chartFormat="1">
  <location ref="A29:B34" firstHeaderRow="1" firstDataRow="1" firstDataCol="1"/>
  <pivotFields count="41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4">
        <item h="1" x="0"/>
        <item x="1"/>
        <item h="1" x="2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h="1"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showAll="0"/>
    <pivotField showAll="0"/>
    <pivotField numFmtId="176" showAll="0"/>
    <pivotField numFmtId="10" showAll="0"/>
    <pivotField showAll="0"/>
    <pivotField showAll="0"/>
    <pivotField numFmtId="1" showAll="0"/>
    <pivotField numFmtId="1" showAll="0"/>
    <pivotField showAll="0"/>
    <pivotField showAll="0"/>
  </pivotFields>
  <rowFields count="1">
    <field x="0"/>
  </rowFields>
  <rowItems count="5">
    <i>
      <x v="9"/>
    </i>
    <i>
      <x v="11"/>
    </i>
    <i>
      <x v="13"/>
    </i>
    <i>
      <x v="15"/>
    </i>
    <i t="grand">
      <x/>
    </i>
  </rowItems>
  <colItems count="1">
    <i/>
  </colItems>
  <dataFields count="1">
    <dataField name="平均值 - 全部標準差平均" fld="31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傳動比" xr10:uid="{AAAC8693-3832-4541-BE70-52BF92B4689F}" sourceName="傳動比">
  <pivotTables>
    <pivotTable tabId="6" name="樞紐分析表1"/>
  </pivotTables>
  <data>
    <tabular pivotCacheId="1333956482">
      <items count="3">
        <i x="0" s="1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有無軸承" xr10:uid="{92015BCD-EFD0-4DF0-99A3-D73D82971067}" sourceName="有無軸承">
  <pivotTables>
    <pivotTable tabId="6" name="樞紐分析表1"/>
  </pivotTables>
  <data>
    <tabular pivotCacheId="1333956482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齒輪數量" xr10:uid="{E73C8150-5E33-4A98-A2CF-350112F0B6A0}" sourceName="齒輪數量">
  <pivotTables>
    <pivotTable tabId="6" name="樞紐分析表1"/>
  </pivotTables>
  <data>
    <tabular pivotCacheId="1333956482">
      <items count="3">
        <i x="1" s="1"/>
        <i x="0" s="1"/>
        <i x="2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傳動比1" xr10:uid="{D2FFF490-DA1C-4FC9-B76D-0C4517A79E61}" sourceName="傳動比">
  <pivotTables>
    <pivotTable tabId="6" name="樞紐分析表2"/>
  </pivotTables>
  <data>
    <tabular pivotCacheId="1333956482">
      <items count="3">
        <i x="0"/>
        <i x="1" s="1"/>
        <i x="2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有無主板" xr10:uid="{B0F40EDD-81A0-4FCB-8BD9-1E2184F0AD63}" sourceName="有無主板">
  <pivotTables>
    <pivotTable tabId="6" name="樞紐分析表2"/>
  </pivotTables>
  <data>
    <tabular pivotCacheId="1333956482">
      <items count="2">
        <i x="0" s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有無軸承1" xr10:uid="{E068D3CD-E2EF-4337-930C-7C10F87FF3AC}" sourceName="有無軸承">
  <pivotTables>
    <pivotTable tabId="6" name="樞紐分析表2"/>
  </pivotTables>
  <data>
    <tabular pivotCacheId="1333956482">
      <items count="2">
        <i x="0" s="1"/>
        <i x="1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輪子數" xr10:uid="{E03C11A0-BCC7-4D2E-8173-17DD2A277F3E}" sourceName="輪子數">
  <pivotTables>
    <pivotTable tabId="6" name="樞紐分析表2"/>
  </pivotTables>
  <data>
    <tabular pivotCacheId="1333956482">
      <items count="2">
        <i x="1" s="1"/>
        <i x="0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欄1" xr10:uid="{2B2DB158-D899-4FB5-946E-36976FA3ADBC}" sourceName="負重">
  <extLst>
    <x:ext xmlns:x15="http://schemas.microsoft.com/office/spreadsheetml/2010/11/main" uri="{2F2917AC-EB37-4324-AD4E-5DD8C200BD13}">
      <x15:tableSlicerCache tableId="7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欄1" xr10:uid="{BC05AE86-BE8E-4EC9-AA28-80FE5FB3B368}" cache="Slicer_欄1" caption="負重" columnCount="3" rowHeight="2222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傳動比" xr10:uid="{1A0E3A22-0BBE-4552-8D08-0FEEB4C9B3E9}" cache="Slicer_傳動比" caption="傳動比" rowHeight="222250"/>
  <slicer name="有無軸承" xr10:uid="{BC5DF1C9-E3FA-460D-880C-32D3B2053835}" cache="Slicer_有無軸承" caption="有無軸承" rowHeight="222250"/>
  <slicer name="齒輪數量" xr10:uid="{D59112CB-8C39-44B5-A811-3ADDC78121F5}" cache="Slicer_齒輪數量" caption="齒輪數量" rowHeight="222250"/>
  <slicer name="傳動比 1" xr10:uid="{793C8717-D2D9-4797-9677-8B5FF2B5BE28}" cache="Slicer_傳動比1" caption="傳動比" rowHeight="222250"/>
  <slicer name="有無主板" xr10:uid="{6A362932-8C95-4AB5-8093-15FB3C5A6116}" cache="Slicer_有無主板" caption="有無主板" rowHeight="222250"/>
  <slicer name="有無軸承 1" xr10:uid="{F093CCC8-8056-45BD-A20E-2E644A568508}" cache="Slicer_有無軸承1" caption="有無軸承" rowHeight="222250"/>
  <slicer name="輪子數" xr10:uid="{39C48571-29AE-44AD-BFE1-B0090115C451}" cache="Slicer_輪子數" caption="輪子數" rowHeight="2222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2C13D2-8A70-4F45-8833-7262A55C3D4F}" name="表格14" displayName="表格14" ref="A1:AP29" totalsRowShown="0" headerRowDxfId="115" dataDxfId="114" tableBorderDxfId="113">
  <autoFilter ref="A1:AP29" xr:uid="{E82C13D2-8A70-4F45-8833-7262A55C3D4F}"/>
  <sortState xmlns:xlrd2="http://schemas.microsoft.com/office/spreadsheetml/2017/richdata2" ref="A2:AO29">
    <sortCondition ref="A1:A29"/>
  </sortState>
  <tableColumns count="42">
    <tableColumn id="1" xr3:uid="{2FC113AC-2A38-47E4-9CF8-9461CC111C86}" name="測試組合" dataDxfId="112"/>
    <tableColumn id="2" xr3:uid="{7AC834D8-3235-40AE-936D-DBF76B7DEDE4}" name="傳動比" dataDxfId="111"/>
    <tableColumn id="3" xr3:uid="{10363342-15AB-4470-9A12-ADEF13084A15}" name="齒輪單雙側傳動" dataDxfId="110"/>
    <tableColumn id="4" xr3:uid="{3E237E9E-6346-4AA1-B648-451A56EFF8F7}" name="齒輪數量" dataDxfId="109"/>
    <tableColumn id="5" xr3:uid="{0FD02993-F901-4479-BF24-DB84CD825581}" name="輪子數" dataDxfId="108"/>
    <tableColumn id="6" xr3:uid="{FBDC1CC1-C2FD-4747-82EA-FA37EC443303}" name="前輪直徑" dataDxfId="107"/>
    <tableColumn id="7" xr3:uid="{4FE37A4E-6091-4584-AD09-3822AB510908}" name="後輪直徑" dataDxfId="106"/>
    <tableColumn id="8" xr3:uid="{1D607143-899D-4A89-875B-778BFF513B44}" name="輪子厚度" dataDxfId="105"/>
    <tableColumn id="38" xr3:uid="{80529DC0-C5D7-4964-AEF4-4C1176258CBA}" name="驅動位置" dataDxfId="104"/>
    <tableColumn id="40" xr3:uid="{7544BFBE-7E1C-47E7-850F-AB0E4F384376}" name="有無主板" dataDxfId="103"/>
    <tableColumn id="39" xr3:uid="{FA752D3C-058F-40A1-AD24-5838D9B6CB06}" name="有無軸承" dataDxfId="102"/>
    <tableColumn id="9" xr3:uid="{D9B53452-C7C1-4BCD-8450-3BA3E733EAF6}" name="負重0g(1)" dataDxfId="101"/>
    <tableColumn id="10" xr3:uid="{766A8AEF-3DC1-4709-85A6-217D078DB102}" name="負重0g(2)" dataDxfId="100"/>
    <tableColumn id="11" xr3:uid="{17FED1DF-0230-4EF7-8DDC-698C5CE8B682}" name="負重0g(3)" dataDxfId="99"/>
    <tableColumn id="12" xr3:uid="{F8FD1B3A-FEF3-4430-B004-E1B4B746FA59}" name="負重50g(1)" dataDxfId="98"/>
    <tableColumn id="13" xr3:uid="{2F324435-B62F-4A88-9EBB-D1D14D16F9A3}" name="負重50g(2)" dataDxfId="97"/>
    <tableColumn id="14" xr3:uid="{508378A2-A5BC-4752-B41F-D83B9AB19F49}" name="負重100g(1)" dataDxfId="96"/>
    <tableColumn id="15" xr3:uid="{D0945442-7F29-4D2E-B85E-AEB5CFDE8C9E}" name="負重100g(2)" dataDxfId="95"/>
    <tableColumn id="16" xr3:uid="{2C7CED12-EC29-4BAB-B2A7-0B507C1A956F}" name="負重150g(1)" dataDxfId="94"/>
    <tableColumn id="17" xr3:uid="{776E1E28-843A-45E9-9A1F-965052D77393}" name="負重150g(2)" dataDxfId="93"/>
    <tableColumn id="18" xr3:uid="{3474B163-9F5C-4B07-9E9C-3C39747556A0}" name="平均值0g" dataDxfId="92">
      <calculatedColumnFormula>AVERAGE(L2,M2,N2)</calculatedColumnFormula>
    </tableColumn>
    <tableColumn id="19" xr3:uid="{D9B973F5-417D-45DF-A6B1-30CD2CDA46E6}" name="平均值50g" dataDxfId="91">
      <calculatedColumnFormula>AVERAGE(O2,P2)</calculatedColumnFormula>
    </tableColumn>
    <tableColumn id="20" xr3:uid="{EBD3A692-5AA8-4765-AAFC-8D97BBB9CA14}" name="平均值100g" dataDxfId="90">
      <calculatedColumnFormula>AVERAGE(Q2,R2)</calculatedColumnFormula>
    </tableColumn>
    <tableColumn id="21" xr3:uid="{06E69758-EAD9-4B4D-BCFE-0116C029760A}" name="平均值150g" dataDxfId="89">
      <calculatedColumnFormula>AVERAGE(S2,T2)</calculatedColumnFormula>
    </tableColumn>
    <tableColumn id="41" xr3:uid="{3649DE03-AEF2-4E52-8892-3FC66D9FA1A9}" name="有負重平均值" dataDxfId="88">
      <calculatedColumnFormula>AVERAGE(表格14[[#This Row],[負重50g(1)]:[負重150g(2)]])</calculatedColumnFormula>
    </tableColumn>
    <tableColumn id="22" xr3:uid="{49D30A9E-D586-448E-B5E2-10D9969C05A2}" name="全部平均值" dataDxfId="87">
      <calculatedColumnFormula>AVERAGE(表格14[[#This Row],[負重0g(1)]:[負重150g(2)]])</calculatedColumnFormula>
    </tableColumn>
    <tableColumn id="23" xr3:uid="{C6071B5F-8324-404B-B7AE-D4B794A981E3}" name="標準差0g" dataDxfId="86">
      <calculatedColumnFormula>_xlfn.STDEV.S(表格14[[#This Row],[負重0g(1)]],表格14[[#This Row],[負重0g(2)]],表格14[[#This Row],[負重0g(3)]])</calculatedColumnFormula>
    </tableColumn>
    <tableColumn id="24" xr3:uid="{71C3B7F6-E434-41D2-81E8-5A4F71661AD3}" name="標準差50g" dataDxfId="85">
      <calculatedColumnFormula>_xlfn.STDEV.S(表格14[[#This Row],[負重50g(1)]],表格14[[#This Row],[負重50g(2)]])</calculatedColumnFormula>
    </tableColumn>
    <tableColumn id="25" xr3:uid="{F68DEEFE-C993-4744-B86D-29DE12AAAD3B}" name="標準差100g" dataDxfId="84">
      <calculatedColumnFormula>_xlfn.STDEV.S(表格14[[#This Row],[負重100g(1)]],表格14[[#This Row],[負重100g(2)]])</calculatedColumnFormula>
    </tableColumn>
    <tableColumn id="26" xr3:uid="{1B83C636-D297-4B28-BCFF-42D406329FC6}" name="標準差150g" dataDxfId="83">
      <calculatedColumnFormula>_xlfn.STDEV.S(表格14[[#This Row],[負重150g(1)]],表格14[[#This Row],[負重150g(2)]])</calculatedColumnFormula>
    </tableColumn>
    <tableColumn id="42" xr3:uid="{B8CA63F9-E361-4C7D-A2DE-3C7E5748D27F}" name="有負重標準差平均" dataDxfId="82">
      <calculatedColumnFormula>AVERAGE(表格14[[#This Row],[標準差50g]:[標準差150g]])</calculatedColumnFormula>
    </tableColumn>
    <tableColumn id="27" xr3:uid="{16A3E6C9-6D93-4D05-A5DF-8AC827F699F8}" name="全部標準差平均" dataDxfId="81">
      <calculatedColumnFormula>AVERAGE(表格14[[#This Row],[標準差0g]:[標準差150g]])</calculatedColumnFormula>
    </tableColumn>
    <tableColumn id="28" xr3:uid="{9318180A-B78E-4D48-9972-4CF23F721096}" name="SN ratio 0g" dataDxfId="80">
      <calculatedColumnFormula>-10*LOG10(1/3*((1/表格14[[#This Row],[負重0g(1)]])^2+(1/表格14[[#This Row],[負重0g(2)]])^2+(1/表格14[[#This Row],[負重0g(3)]])^2))</calculatedColumnFormula>
    </tableColumn>
    <tableColumn id="29" xr3:uid="{850A5388-A130-4136-98F6-5B8F833C87D4}" name="全部負重SN ratio" dataDxfId="79">
      <calculatedColumnFormula>AVERAGE(AB2:AF2)</calculatedColumnFormula>
    </tableColumn>
    <tableColumn id="30" xr3:uid="{F4F284E7-4CFE-4007-B737-D1B7839FBEB7}" name="完成度" dataDxfId="78"/>
    <tableColumn id="31" xr3:uid="{767CA7BF-A446-4D26-9E7B-E29C4ECB6970}" name="有負重平均排名" dataDxfId="77">
      <calculatedColumnFormula>RANK(表格14[[#This Row],[有負重平均值]],表格14[有負重平均值])</calculatedColumnFormula>
    </tableColumn>
    <tableColumn id="32" xr3:uid="{6411443F-E5C8-42FB-992D-D04FC40BE4F0}" name="全部平均排名" dataDxfId="76">
      <calculatedColumnFormula>RANK(表格14[[#This Row],[全部平均值]],表格14[全部平均值])</calculatedColumnFormula>
    </tableColumn>
    <tableColumn id="33" xr3:uid="{B0C1EACF-6842-4D52-91EA-96FEAA207FF0}" name="有負重標準差排名" dataDxfId="75">
      <calculatedColumnFormula>RANK(表格14[[#This Row],[有負重標準差平均]],表格14[有負重標準差平均],1)</calculatedColumnFormula>
    </tableColumn>
    <tableColumn id="34" xr3:uid="{EC5F9E66-D4AB-4BE9-A8F1-1329A5ABF54F}" name="全部標準差排名" dataDxfId="74">
      <calculatedColumnFormula>RANK(表格14[[#This Row],[全部標準差平均]],表格14[全部標準差平均],1)</calculatedColumnFormula>
    </tableColumn>
    <tableColumn id="35" xr3:uid="{5A4DBB55-E85E-4818-B544-760596908CA1}" name="全部SN ratio 排名" dataDxfId="73">
      <calculatedColumnFormula>RANK(表格14[[#This Row],[全部負重SN ratio]],表格14[全部負重SN ratio])</calculatedColumnFormula>
    </tableColumn>
    <tableColumn id="36" xr3:uid="{41ABD351-D340-4600-A0BE-7BCAB8C281BE}" name="綜合排名平均" dataDxfId="72">
      <calculatedColumnFormula>RANK(AH2,AH$28:AH$43)</calculatedColumnFormula>
    </tableColumn>
    <tableColumn id="37" xr3:uid="{FFB8AE9D-9357-4F6C-A744-E50F9BDECC6D}" name="綜合排名" dataDxfId="71">
      <calculatedColumnFormula>RANK(表格14[[#This Row],[綜合排名平均]],表格14[綜合排名平均],1)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556352-75D5-44C4-83BF-DAF9B1B96688}" name="表格7" displayName="表格7" ref="A16:M19" totalsRowShown="0" headerRowDxfId="130" dataDxfId="129">
  <autoFilter ref="A16:M19" xr:uid="{90556352-75D5-44C4-83BF-DAF9B1B96688}">
    <filterColumn colId="0">
      <filters>
        <filter val="150"/>
      </filters>
    </filterColumn>
  </autoFilter>
  <tableColumns count="13">
    <tableColumn id="1" xr3:uid="{4612478C-E8C7-492F-8812-4C75FB989FEC}" name="負重" dataDxfId="128"/>
    <tableColumn id="2" xr3:uid="{ADDA50D0-54B6-40C8-87AE-2CF75709A50B}" name="1" dataDxfId="127"/>
    <tableColumn id="3" xr3:uid="{42F99D5B-56D0-4D68-B316-F6163C215AA6}" name="2" dataDxfId="126"/>
    <tableColumn id="4" xr3:uid="{35A9EA0A-4E7D-4A23-B5DD-8EA840B49086}" name="3" dataDxfId="125"/>
    <tableColumn id="5" xr3:uid="{E562AB4C-E63B-4177-93BE-511F50F15836}" name="4" dataDxfId="124"/>
    <tableColumn id="6" xr3:uid="{C5B30BCC-2B75-47A1-A3CB-78940A7D8620}" name="5" dataDxfId="123"/>
    <tableColumn id="7" xr3:uid="{1FB8A605-D73D-4BA0-A94B-DA41DAFA2B82}" name="6" dataDxfId="122"/>
    <tableColumn id="8" xr3:uid="{A80A3BB7-CF9B-489F-8A49-B8A4363F354B}" name="7" dataDxfId="121"/>
    <tableColumn id="9" xr3:uid="{B3518A22-890F-4F09-9830-4A20F1DC5E07}" name="8" dataDxfId="120"/>
    <tableColumn id="10" xr3:uid="{B625BF36-30D8-43A3-A7ED-F3818083FFA4}" name="9" dataDxfId="119"/>
    <tableColumn id="11" xr3:uid="{3717BA00-EA52-4A77-96C8-9D6A9D283B1D}" name="10" dataDxfId="118"/>
    <tableColumn id="12" xr3:uid="{3780117B-D629-40D2-9450-74214B7E60B3}" name="11" dataDxfId="117"/>
    <tableColumn id="13" xr3:uid="{CD5D40B8-004A-4C6C-A648-6543DA6B0923}" name="12" dataDxfId="1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7A6E-A288-4924-A570-DD4919CE91C5}">
  <dimension ref="A1:AP34"/>
  <sheetViews>
    <sheetView zoomScale="85" zoomScaleNormal="70" workbookViewId="0">
      <selection activeCell="I13" sqref="I13"/>
    </sheetView>
  </sheetViews>
  <sheetFormatPr defaultRowHeight="16.2" x14ac:dyDescent="0.3"/>
  <cols>
    <col min="1" max="1" width="16.44140625" bestFit="1" customWidth="1"/>
    <col min="2" max="2" width="14.109375" bestFit="1" customWidth="1"/>
    <col min="3" max="3" width="24.33203125" bestFit="1" customWidth="1"/>
    <col min="4" max="4" width="16.44140625" bestFit="1" customWidth="1"/>
    <col min="5" max="5" width="14.109375" bestFit="1" customWidth="1"/>
    <col min="6" max="11" width="16.44140625" bestFit="1" customWidth="1"/>
    <col min="12" max="14" width="17" bestFit="1" customWidth="1"/>
    <col min="15" max="16" width="18.33203125" bestFit="1" customWidth="1"/>
    <col min="17" max="20" width="19.5546875" bestFit="1" customWidth="1"/>
    <col min="21" max="21" width="16.44140625" bestFit="1" customWidth="1"/>
    <col min="22" max="22" width="17.77734375" bestFit="1" customWidth="1"/>
    <col min="23" max="24" width="19.109375" bestFit="1" customWidth="1"/>
    <col min="25" max="25" width="21.6640625" bestFit="1" customWidth="1"/>
    <col min="26" max="26" width="19.109375" bestFit="1" customWidth="1"/>
    <col min="27" max="27" width="16.44140625" bestFit="1" customWidth="1"/>
    <col min="28" max="28" width="17.77734375" bestFit="1" customWidth="1"/>
    <col min="29" max="30" width="19.109375" bestFit="1" customWidth="1"/>
    <col min="31" max="31" width="26.88671875" bestFit="1" customWidth="1"/>
    <col min="32" max="32" width="24.33203125" bestFit="1" customWidth="1"/>
    <col min="33" max="33" width="18.33203125" bestFit="1" customWidth="1"/>
    <col min="34" max="34" width="25.33203125" bestFit="1" customWidth="1"/>
    <col min="35" max="35" width="14.109375" bestFit="1" customWidth="1"/>
    <col min="36" max="36" width="24.33203125" bestFit="1" customWidth="1"/>
    <col min="37" max="37" width="21.6640625" bestFit="1" customWidth="1"/>
    <col min="38" max="38" width="26.88671875" bestFit="1" customWidth="1"/>
    <col min="39" max="39" width="24.33203125" bestFit="1" customWidth="1"/>
    <col min="40" max="40" width="26.109375" bestFit="1" customWidth="1"/>
    <col min="41" max="41" width="16.44140625" hidden="1" customWidth="1"/>
    <col min="42" max="42" width="23" bestFit="1" customWidth="1"/>
  </cols>
  <sheetData>
    <row r="1" spans="1:42" ht="16.2" customHeight="1" x14ac:dyDescent="0.3">
      <c r="A1" s="301" t="s">
        <v>54</v>
      </c>
      <c r="B1" s="62" t="s">
        <v>145</v>
      </c>
      <c r="C1" s="62" t="s">
        <v>229</v>
      </c>
      <c r="D1" s="62" t="s">
        <v>62</v>
      </c>
      <c r="E1" s="62" t="s">
        <v>72</v>
      </c>
      <c r="F1" s="62" t="s">
        <v>67</v>
      </c>
      <c r="G1" s="62" t="s">
        <v>69</v>
      </c>
      <c r="H1" s="62" t="s">
        <v>47</v>
      </c>
      <c r="I1" s="62" t="s">
        <v>132</v>
      </c>
      <c r="J1" s="62" t="s">
        <v>185</v>
      </c>
      <c r="K1" s="62" t="s">
        <v>168</v>
      </c>
      <c r="L1" s="44" t="s">
        <v>210</v>
      </c>
      <c r="M1" s="45" t="s">
        <v>211</v>
      </c>
      <c r="N1" s="45" t="s">
        <v>212</v>
      </c>
      <c r="O1" s="45" t="s">
        <v>213</v>
      </c>
      <c r="P1" s="45" t="s">
        <v>214</v>
      </c>
      <c r="Q1" s="45" t="s">
        <v>215</v>
      </c>
      <c r="R1" s="45" t="s">
        <v>216</v>
      </c>
      <c r="S1" s="45" t="s">
        <v>217</v>
      </c>
      <c r="T1" s="45" t="s">
        <v>218</v>
      </c>
      <c r="U1" s="44" t="s">
        <v>219</v>
      </c>
      <c r="V1" s="45" t="s">
        <v>220</v>
      </c>
      <c r="W1" s="45" t="s">
        <v>221</v>
      </c>
      <c r="X1" s="45" t="s">
        <v>222</v>
      </c>
      <c r="Y1" s="45" t="s">
        <v>175</v>
      </c>
      <c r="Z1" s="46" t="s">
        <v>135</v>
      </c>
      <c r="AA1" s="45" t="s">
        <v>223</v>
      </c>
      <c r="AB1" s="45" t="s">
        <v>224</v>
      </c>
      <c r="AC1" s="45" t="s">
        <v>225</v>
      </c>
      <c r="AD1" s="45" t="s">
        <v>226</v>
      </c>
      <c r="AE1" s="45" t="s">
        <v>232</v>
      </c>
      <c r="AF1" s="46" t="s">
        <v>209</v>
      </c>
      <c r="AG1" s="35" t="s">
        <v>227</v>
      </c>
      <c r="AH1" s="62" t="s">
        <v>228</v>
      </c>
      <c r="AI1" s="44" t="s">
        <v>97</v>
      </c>
      <c r="AJ1" s="44" t="s">
        <v>233</v>
      </c>
      <c r="AK1" s="45" t="s">
        <v>234</v>
      </c>
      <c r="AL1" s="45" t="s">
        <v>235</v>
      </c>
      <c r="AM1" s="45" t="s">
        <v>236</v>
      </c>
      <c r="AN1" s="38" t="s">
        <v>237</v>
      </c>
      <c r="AO1" s="46" t="s">
        <v>251</v>
      </c>
      <c r="AP1" s="46" t="s">
        <v>238</v>
      </c>
    </row>
    <row r="2" spans="1:42" x14ac:dyDescent="0.3">
      <c r="A2" s="302">
        <v>1</v>
      </c>
      <c r="B2" s="62" t="s">
        <v>61</v>
      </c>
      <c r="C2" s="62" t="s">
        <v>46</v>
      </c>
      <c r="D2" s="62" t="s">
        <v>65</v>
      </c>
      <c r="E2" s="62" t="s">
        <v>51</v>
      </c>
      <c r="F2" s="62" t="s">
        <v>76</v>
      </c>
      <c r="G2" s="62" t="s">
        <v>76</v>
      </c>
      <c r="H2" s="62" t="s">
        <v>80</v>
      </c>
      <c r="I2" s="62" t="s">
        <v>230</v>
      </c>
      <c r="J2" s="62" t="s">
        <v>169</v>
      </c>
      <c r="K2" s="62" t="s">
        <v>170</v>
      </c>
      <c r="L2" s="289">
        <v>732</v>
      </c>
      <c r="M2" s="64">
        <v>716</v>
      </c>
      <c r="N2" s="64">
        <v>632</v>
      </c>
      <c r="O2" s="64">
        <v>557</v>
      </c>
      <c r="P2" s="64">
        <v>596</v>
      </c>
      <c r="Q2" s="64">
        <v>562.20000000000005</v>
      </c>
      <c r="R2" s="64">
        <v>500</v>
      </c>
      <c r="S2" s="64">
        <v>526.5</v>
      </c>
      <c r="T2" s="64">
        <v>490</v>
      </c>
      <c r="U2" s="306">
        <f t="shared" ref="U2:U29" si="0">AVERAGE(L2,M2,N2)</f>
        <v>693.33333333333337</v>
      </c>
      <c r="V2" s="304">
        <f t="shared" ref="V2:V29" si="1">AVERAGE(O2,P2)</f>
        <v>576.5</v>
      </c>
      <c r="W2" s="304">
        <f t="shared" ref="W2:W29" si="2">AVERAGE(Q2,R2)</f>
        <v>531.1</v>
      </c>
      <c r="X2" s="86">
        <f t="shared" ref="X2:X29" si="3">AVERAGE(S2,T2)</f>
        <v>508.25</v>
      </c>
      <c r="Y2" s="86">
        <f>AVERAGE(表格14[[#This Row],[負重50g(1)]:[負重150g(2)]])</f>
        <v>538.61666666666667</v>
      </c>
      <c r="Z2" s="91">
        <f>AVERAGE(表格14[[#This Row],[負重0g(1)]:[負重150g(2)]])</f>
        <v>590.18888888888887</v>
      </c>
      <c r="AA2" s="86">
        <f>_xlfn.STDEV.S(表格14[[#This Row],[負重0g(1)]],表格14[[#This Row],[負重0g(2)]],表格14[[#This Row],[負重0g(3)]])</f>
        <v>53.715298875956492</v>
      </c>
      <c r="AB2" s="86">
        <f>_xlfn.STDEV.S(表格14[[#This Row],[負重50g(1)]],表格14[[#This Row],[負重50g(2)]])</f>
        <v>27.577164466275352</v>
      </c>
      <c r="AC2" s="86">
        <f>_xlfn.STDEV.S(表格14[[#This Row],[負重100g(1)]],表格14[[#This Row],[負重100g(2)]])</f>
        <v>43.98204178980329</v>
      </c>
      <c r="AD2" s="86">
        <f>_xlfn.STDEV.S(表格14[[#This Row],[負重150g(1)]],表格14[[#This Row],[負重150g(2)]])</f>
        <v>25.809397513308983</v>
      </c>
      <c r="AE2" s="86">
        <f>AVERAGE(表格14[[#This Row],[標準差50g]:[標準差150g]])</f>
        <v>32.456201256462542</v>
      </c>
      <c r="AF2" s="91">
        <f>AVERAGE(表格14[[#This Row],[標準差0g]:[標準差150g]])</f>
        <v>37.770975661336031</v>
      </c>
      <c r="AG2" s="300">
        <f>-10*LOG10(1/3*((1/表格14[[#This Row],[負重0g(1)]])^2+(1/表格14[[#This Row],[負重0g(2)]])^2+(1/表格14[[#This Row],[負重0g(3)]])^2))</f>
        <v>56.76368760628251</v>
      </c>
      <c r="AH2" s="300">
        <f t="shared" ref="AH2:AH27" si="4">-10*LOG10(1/9*((1/$L2)^2+(1/$M2)^2+(1/$N2)^2+(1/$O2)^2+(1/P2)^2+(1/$Q2)^2+(1/$R2)^2+(1/$S2)^2+(1/$T2)^2))</f>
        <v>55.181563127008701</v>
      </c>
      <c r="AI2" s="309">
        <v>0.33333333333333331</v>
      </c>
      <c r="AJ2" s="68">
        <f>RANK(表格14[[#This Row],[有負重平均值]],表格14[有負重平均值])</f>
        <v>22</v>
      </c>
      <c r="AK2" s="35">
        <f>RANK(表格14[[#This Row],[全部平均值]],表格14[全部平均值])</f>
        <v>23</v>
      </c>
      <c r="AL2" s="127">
        <f>RANK(表格14[[#This Row],[有負重標準差平均]],表格14[有負重標準差平均],1)</f>
        <v>22</v>
      </c>
      <c r="AM2" s="127">
        <f>RANK(表格14[[#This Row],[全部標準差平均]],表格14[全部標準差平均],1)</f>
        <v>20</v>
      </c>
      <c r="AN2" s="50">
        <f>RANK(表格14[[#This Row],[全部負重SN ratio]],表格14[全部負重SN ratio])</f>
        <v>18</v>
      </c>
      <c r="AO2" s="50">
        <f>AVERAGE(表格14[[#This Row],[有負重平均排名]:[全部SN ratio 排名]])</f>
        <v>21</v>
      </c>
      <c r="AP2" s="50">
        <f>RANK(表格14[[#This Row],[綜合排名平均]],表格14[綜合排名平均],1)</f>
        <v>25</v>
      </c>
    </row>
    <row r="3" spans="1:42" x14ac:dyDescent="0.3">
      <c r="A3" s="302">
        <v>2</v>
      </c>
      <c r="B3" s="62" t="s">
        <v>61</v>
      </c>
      <c r="C3" s="62" t="s">
        <v>46</v>
      </c>
      <c r="D3" s="62" t="s">
        <v>64</v>
      </c>
      <c r="E3" s="62" t="s">
        <v>49</v>
      </c>
      <c r="F3" s="62" t="s">
        <v>78</v>
      </c>
      <c r="G3" s="62" t="s">
        <v>78</v>
      </c>
      <c r="H3" s="62" t="s">
        <v>82</v>
      </c>
      <c r="I3" s="62" t="s">
        <v>230</v>
      </c>
      <c r="J3" s="62" t="s">
        <v>169</v>
      </c>
      <c r="K3" s="62" t="s">
        <v>170</v>
      </c>
      <c r="L3" s="289">
        <v>499</v>
      </c>
      <c r="M3" s="64">
        <v>536.5</v>
      </c>
      <c r="N3" s="64">
        <v>506.5</v>
      </c>
      <c r="O3" s="64">
        <v>540</v>
      </c>
      <c r="P3" s="64">
        <v>499</v>
      </c>
      <c r="Q3" s="64">
        <v>481.5</v>
      </c>
      <c r="R3" s="64">
        <v>489</v>
      </c>
      <c r="S3" s="64">
        <v>343</v>
      </c>
      <c r="T3" s="64">
        <v>417</v>
      </c>
      <c r="U3" s="306">
        <f t="shared" si="0"/>
        <v>514</v>
      </c>
      <c r="V3" s="304">
        <f t="shared" si="1"/>
        <v>519.5</v>
      </c>
      <c r="W3" s="304">
        <f t="shared" si="2"/>
        <v>485.25</v>
      </c>
      <c r="X3" s="86">
        <f t="shared" si="3"/>
        <v>380</v>
      </c>
      <c r="Y3" s="86">
        <f>AVERAGE(表格14[[#This Row],[負重50g(1)]:[負重150g(2)]])</f>
        <v>461.58333333333331</v>
      </c>
      <c r="Z3" s="91">
        <f>AVERAGE(表格14[[#This Row],[負重0g(1)]:[負重150g(2)]])</f>
        <v>479.05555555555554</v>
      </c>
      <c r="AA3" s="86">
        <f>_xlfn.STDEV.S(表格14[[#This Row],[負重0g(1)]],表格14[[#This Row],[負重0g(2)]],表格14[[#This Row],[負重0g(3)]])</f>
        <v>19.843134832984429</v>
      </c>
      <c r="AB3" s="86">
        <f>_xlfn.STDEV.S(表格14[[#This Row],[負重50g(1)]],表格14[[#This Row],[負重50g(2)]])</f>
        <v>28.991378028648448</v>
      </c>
      <c r="AC3" s="86">
        <f>_xlfn.STDEV.S(表格14[[#This Row],[負重100g(1)]],表格14[[#This Row],[負重100g(2)]])</f>
        <v>5.3033008588991066</v>
      </c>
      <c r="AD3" s="86">
        <f>_xlfn.STDEV.S(表格14[[#This Row],[負重150g(1)]],表格14[[#This Row],[負重150g(2)]])</f>
        <v>52.32590180780452</v>
      </c>
      <c r="AE3" s="86">
        <f>AVERAGE(表格14[[#This Row],[標準差50g]:[標準差150g]])</f>
        <v>28.873526898450692</v>
      </c>
      <c r="AF3" s="91">
        <f>AVERAGE(表格14[[#This Row],[標準差0g]:[標準差150g]])</f>
        <v>26.615928882084127</v>
      </c>
      <c r="AG3" s="300">
        <f>-10*LOG10(1/3*((1/表格14[[#This Row],[負重0g(1)]])^2+(1/表格14[[#This Row],[負重0g(2)]])^2+(1/表格14[[#This Row],[負重0g(3)]])^2))</f>
        <v>54.206628364896929</v>
      </c>
      <c r="AH3" s="300">
        <f t="shared" si="4"/>
        <v>53.353621350285856</v>
      </c>
      <c r="AI3" s="309">
        <v>0.33333333333333331</v>
      </c>
      <c r="AJ3" s="68">
        <f>RANK(表格14[[#This Row],[有負重平均值]],表格14[有負重平均值])</f>
        <v>27</v>
      </c>
      <c r="AK3" s="35">
        <f>RANK(表格14[[#This Row],[全部平均值]],表格14[全部平均值])</f>
        <v>28</v>
      </c>
      <c r="AL3" s="127">
        <f>RANK(表格14[[#This Row],[有負重標準差平均]],表格14[有負重標準差平均],1)</f>
        <v>19</v>
      </c>
      <c r="AM3" s="127">
        <f>RANK(表格14[[#This Row],[全部標準差平均]],表格14[全部標準差平均],1)</f>
        <v>14</v>
      </c>
      <c r="AN3" s="50">
        <f>RANK(表格14[[#This Row],[全部負重SN ratio]],表格14[全部負重SN ratio])</f>
        <v>26</v>
      </c>
      <c r="AO3" s="50">
        <f>AVERAGE(表格14[[#This Row],[有負重平均排名]:[全部SN ratio 排名]])</f>
        <v>22.8</v>
      </c>
      <c r="AP3" s="50">
        <f>RANK(表格14[[#This Row],[綜合排名平均]],表格14[綜合排名平均],1)</f>
        <v>28</v>
      </c>
    </row>
    <row r="4" spans="1:42" x14ac:dyDescent="0.3">
      <c r="A4" s="302">
        <v>3</v>
      </c>
      <c r="B4" s="62" t="s">
        <v>61</v>
      </c>
      <c r="C4" s="62" t="s">
        <v>46</v>
      </c>
      <c r="D4" s="62" t="s">
        <v>66</v>
      </c>
      <c r="E4" s="62" t="s">
        <v>51</v>
      </c>
      <c r="F4" s="62" t="s">
        <v>76</v>
      </c>
      <c r="G4" s="62" t="s">
        <v>78</v>
      </c>
      <c r="H4" s="62" t="s">
        <v>82</v>
      </c>
      <c r="I4" s="62" t="s">
        <v>231</v>
      </c>
      <c r="J4" s="62" t="s">
        <v>169</v>
      </c>
      <c r="K4" s="62" t="s">
        <v>170</v>
      </c>
      <c r="L4" s="289">
        <v>562</v>
      </c>
      <c r="M4" s="64">
        <v>563.5</v>
      </c>
      <c r="N4" s="64">
        <v>502</v>
      </c>
      <c r="O4" s="64">
        <v>458</v>
      </c>
      <c r="P4" s="64">
        <v>458.5</v>
      </c>
      <c r="Q4" s="64">
        <v>531</v>
      </c>
      <c r="R4" s="64">
        <v>484</v>
      </c>
      <c r="S4" s="64">
        <v>495</v>
      </c>
      <c r="T4" s="64">
        <v>430</v>
      </c>
      <c r="U4" s="306">
        <f t="shared" si="0"/>
        <v>542.5</v>
      </c>
      <c r="V4" s="304">
        <f t="shared" si="1"/>
        <v>458.25</v>
      </c>
      <c r="W4" s="304">
        <f t="shared" si="2"/>
        <v>507.5</v>
      </c>
      <c r="X4" s="86">
        <f t="shared" si="3"/>
        <v>462.5</v>
      </c>
      <c r="Y4" s="86">
        <f>AVERAGE(表格14[[#This Row],[負重50g(1)]:[負重150g(2)]])</f>
        <v>476.08333333333331</v>
      </c>
      <c r="Z4" s="91">
        <f>AVERAGE(表格14[[#This Row],[負重0g(1)]:[負重150g(2)]])</f>
        <v>498.22222222222223</v>
      </c>
      <c r="AA4" s="86">
        <f>_xlfn.STDEV.S(表格14[[#This Row],[負重0g(1)]],表格14[[#This Row],[負重0g(2)]],表格14[[#This Row],[負重0g(3)]])</f>
        <v>35.082046690579496</v>
      </c>
      <c r="AB4" s="86">
        <f>_xlfn.STDEV.S(表格14[[#This Row],[負重50g(1)]],表格14[[#This Row],[負重50g(2)]])</f>
        <v>0.35355339059327379</v>
      </c>
      <c r="AC4" s="86">
        <f>_xlfn.STDEV.S(表格14[[#This Row],[負重100g(1)]],表格14[[#This Row],[負重100g(2)]])</f>
        <v>33.234018715767732</v>
      </c>
      <c r="AD4" s="86">
        <f>_xlfn.STDEV.S(表格14[[#This Row],[負重150g(1)]],表格14[[#This Row],[負重150g(2)]])</f>
        <v>45.961940777125591</v>
      </c>
      <c r="AE4" s="86">
        <f>AVERAGE(表格14[[#This Row],[標準差50g]:[標準差150g]])</f>
        <v>26.516504294495533</v>
      </c>
      <c r="AF4" s="91">
        <f>AVERAGE(表格14[[#This Row],[標準差0g]:[標準差150g]])</f>
        <v>28.657889893516526</v>
      </c>
      <c r="AG4" s="300">
        <f>-10*LOG10(1/3*((1/表格14[[#This Row],[負重0g(1)]])^2+(1/表格14[[#This Row],[負重0g(2)]])^2+(1/表格14[[#This Row],[負重0g(3)]])^2))</f>
        <v>54.649761899621836</v>
      </c>
      <c r="AH4" s="300">
        <f t="shared" si="4"/>
        <v>53.847199708133587</v>
      </c>
      <c r="AI4" s="309">
        <v>0.88888888888888884</v>
      </c>
      <c r="AJ4" s="68">
        <f>RANK(表格14[[#This Row],[有負重平均值]],表格14[有負重平均值])</f>
        <v>26</v>
      </c>
      <c r="AK4" s="35">
        <f>RANK(表格14[[#This Row],[全部平均值]],表格14[全部平均值])</f>
        <v>27</v>
      </c>
      <c r="AL4" s="127">
        <f>RANK(表格14[[#This Row],[有負重標準差平均]],表格14[有負重標準差平均],1)</f>
        <v>15</v>
      </c>
      <c r="AM4" s="127">
        <f>RANK(表格14[[#This Row],[全部標準差平均]],表格14[全部標準差平均],1)</f>
        <v>15</v>
      </c>
      <c r="AN4" s="50">
        <f>RANK(表格14[[#This Row],[全部負重SN ratio]],表格14[全部負重SN ratio])</f>
        <v>24</v>
      </c>
      <c r="AO4" s="50">
        <f>AVERAGE(表格14[[#This Row],[有負重平均排名]:[全部SN ratio 排名]])</f>
        <v>21.4</v>
      </c>
      <c r="AP4" s="50">
        <f>RANK(表格14[[#This Row],[綜合排名平均]],表格14[綜合排名平均],1)</f>
        <v>27</v>
      </c>
    </row>
    <row r="5" spans="1:42" x14ac:dyDescent="0.3">
      <c r="A5" s="302">
        <v>4</v>
      </c>
      <c r="B5" s="62" t="s">
        <v>61</v>
      </c>
      <c r="C5" s="62" t="s">
        <v>46</v>
      </c>
      <c r="D5" s="62" t="s">
        <v>66</v>
      </c>
      <c r="E5" s="62" t="s">
        <v>49</v>
      </c>
      <c r="F5" s="62" t="s">
        <v>78</v>
      </c>
      <c r="G5" s="62" t="s">
        <v>76</v>
      </c>
      <c r="H5" s="62" t="s">
        <v>80</v>
      </c>
      <c r="I5" s="62" t="s">
        <v>231</v>
      </c>
      <c r="J5" s="62" t="s">
        <v>169</v>
      </c>
      <c r="K5" s="62" t="s">
        <v>170</v>
      </c>
      <c r="L5" s="289">
        <v>756</v>
      </c>
      <c r="M5" s="64">
        <v>668</v>
      </c>
      <c r="N5" s="64">
        <v>702.5</v>
      </c>
      <c r="O5" s="64">
        <v>565</v>
      </c>
      <c r="P5" s="64">
        <v>572</v>
      </c>
      <c r="Q5" s="64">
        <v>508</v>
      </c>
      <c r="R5" s="64">
        <v>503.5</v>
      </c>
      <c r="S5" s="64">
        <v>489</v>
      </c>
      <c r="T5" s="64">
        <v>387</v>
      </c>
      <c r="U5" s="306">
        <f t="shared" si="0"/>
        <v>708.83333333333337</v>
      </c>
      <c r="V5" s="304">
        <f t="shared" si="1"/>
        <v>568.5</v>
      </c>
      <c r="W5" s="304">
        <f t="shared" si="2"/>
        <v>505.75</v>
      </c>
      <c r="X5" s="86">
        <f t="shared" si="3"/>
        <v>438</v>
      </c>
      <c r="Y5" s="86">
        <f>AVERAGE(表格14[[#This Row],[負重50g(1)]:[負重150g(2)]])</f>
        <v>504.08333333333331</v>
      </c>
      <c r="Z5" s="91">
        <f>AVERAGE(表格14[[#This Row],[負重0g(1)]:[負重150g(2)]])</f>
        <v>572.33333333333337</v>
      </c>
      <c r="AA5" s="86">
        <f>_xlfn.STDEV.S(表格14[[#This Row],[負重0g(1)]],表格14[[#This Row],[負重0g(2)]],表格14[[#This Row],[負重0g(3)]])</f>
        <v>44.340538261655475</v>
      </c>
      <c r="AB5" s="86">
        <f>_xlfn.STDEV.S(表格14[[#This Row],[負重50g(1)]],表格14[[#This Row],[負重50g(2)]])</f>
        <v>4.9497474683058327</v>
      </c>
      <c r="AC5" s="86">
        <f>_xlfn.STDEV.S(表格14[[#This Row],[負重100g(1)]],表格14[[#This Row],[負重100g(2)]])</f>
        <v>3.1819805153394638</v>
      </c>
      <c r="AD5" s="86">
        <f>_xlfn.STDEV.S(表格14[[#This Row],[負重150g(1)]],表格14[[#This Row],[負重150g(2)]])</f>
        <v>72.124891681027847</v>
      </c>
      <c r="AE5" s="86">
        <f>AVERAGE(表格14[[#This Row],[標準差50g]:[標準差150g]])</f>
        <v>26.752206554891046</v>
      </c>
      <c r="AF5" s="91">
        <f>AVERAGE(表格14[[#This Row],[標準差0g]:[標準差150g]])</f>
        <v>31.149289481582151</v>
      </c>
      <c r="AG5" s="300">
        <f>-10*LOG10(1/3*((1/表格14[[#This Row],[負重0g(1)]])^2+(1/表格14[[#This Row],[負重0g(2)]])^2+(1/表格14[[#This Row],[負重0g(3)]])^2))</f>
        <v>56.977401764888228</v>
      </c>
      <c r="AH5" s="300">
        <f t="shared" si="4"/>
        <v>54.645018172914803</v>
      </c>
      <c r="AI5" s="309">
        <v>0.33333333333333331</v>
      </c>
      <c r="AJ5" s="68">
        <f>RANK(表格14[[#This Row],[有負重平均值]],表格14[有負重平均值])</f>
        <v>23</v>
      </c>
      <c r="AK5" s="35">
        <f>RANK(表格14[[#This Row],[全部平均值]],表格14[全部平均值])</f>
        <v>24</v>
      </c>
      <c r="AL5" s="127">
        <f>RANK(表格14[[#This Row],[有負重標準差平均]],表格14[有負重標準差平均],1)</f>
        <v>17</v>
      </c>
      <c r="AM5" s="127">
        <f>RANK(表格14[[#This Row],[全部標準差平均]],表格14[全部標準差平均],1)</f>
        <v>16</v>
      </c>
      <c r="AN5" s="50">
        <f>RANK(表格14[[#This Row],[全部負重SN ratio]],表格14[全部負重SN ratio])</f>
        <v>21</v>
      </c>
      <c r="AO5" s="50">
        <f>AVERAGE(表格14[[#This Row],[有負重平均排名]:[全部SN ratio 排名]])</f>
        <v>20.2</v>
      </c>
      <c r="AP5" s="50">
        <f>RANK(表格14[[#This Row],[綜合排名平均]],表格14[綜合排名平均],1)</f>
        <v>24</v>
      </c>
    </row>
    <row r="6" spans="1:42" x14ac:dyDescent="0.3">
      <c r="A6" s="302">
        <v>5</v>
      </c>
      <c r="B6" s="62" t="s">
        <v>61</v>
      </c>
      <c r="C6" s="62" t="s">
        <v>45</v>
      </c>
      <c r="D6" s="62" t="s">
        <v>64</v>
      </c>
      <c r="E6" s="62" t="s">
        <v>51</v>
      </c>
      <c r="F6" s="62" t="s">
        <v>78</v>
      </c>
      <c r="G6" s="62" t="s">
        <v>76</v>
      </c>
      <c r="H6" s="62" t="s">
        <v>82</v>
      </c>
      <c r="I6" s="62" t="s">
        <v>230</v>
      </c>
      <c r="J6" s="62" t="s">
        <v>169</v>
      </c>
      <c r="K6" s="62" t="s">
        <v>170</v>
      </c>
      <c r="L6" s="289">
        <v>627</v>
      </c>
      <c r="M6" s="64">
        <v>586</v>
      </c>
      <c r="N6" s="64">
        <v>600</v>
      </c>
      <c r="O6" s="64">
        <v>487</v>
      </c>
      <c r="P6" s="64">
        <v>531</v>
      </c>
      <c r="Q6" s="64">
        <v>463</v>
      </c>
      <c r="R6" s="64">
        <v>431</v>
      </c>
      <c r="S6" s="64">
        <v>382</v>
      </c>
      <c r="T6" s="64">
        <v>391</v>
      </c>
      <c r="U6" s="306">
        <f t="shared" si="0"/>
        <v>604.33333333333337</v>
      </c>
      <c r="V6" s="304">
        <f t="shared" si="1"/>
        <v>509</v>
      </c>
      <c r="W6" s="304">
        <f t="shared" si="2"/>
        <v>447</v>
      </c>
      <c r="X6" s="86">
        <f t="shared" si="3"/>
        <v>386.5</v>
      </c>
      <c r="Y6" s="86">
        <f>AVERAGE(表格14[[#This Row],[負重50g(1)]:[負重150g(2)]])</f>
        <v>447.5</v>
      </c>
      <c r="Z6" s="91">
        <f>AVERAGE(表格14[[#This Row],[負重0g(1)]:[負重150g(2)]])</f>
        <v>499.77777777777777</v>
      </c>
      <c r="AA6" s="86">
        <f>_xlfn.STDEV.S(表格14[[#This Row],[負重0g(1)]],表格14[[#This Row],[負重0g(2)]],表格14[[#This Row],[負重0g(3)]])</f>
        <v>20.840665376454112</v>
      </c>
      <c r="AB6" s="86">
        <f>_xlfn.STDEV.S(表格14[[#This Row],[負重50g(1)]],表格14[[#This Row],[負重50g(2)]])</f>
        <v>31.11269837220809</v>
      </c>
      <c r="AC6" s="86">
        <f>_xlfn.STDEV.S(表格14[[#This Row],[負重100g(1)]],表格14[[#This Row],[負重100g(2)]])</f>
        <v>22.627416997969522</v>
      </c>
      <c r="AD6" s="86">
        <f>_xlfn.STDEV.S(表格14[[#This Row],[負重150g(1)]],表格14[[#This Row],[負重150g(2)]])</f>
        <v>6.3639610306789276</v>
      </c>
      <c r="AE6" s="86">
        <f>AVERAGE(表格14[[#This Row],[標準差50g]:[標準差150g]])</f>
        <v>20.034692133618847</v>
      </c>
      <c r="AF6" s="91">
        <f>AVERAGE(表格14[[#This Row],[標準差0g]:[標準差150g]])</f>
        <v>20.23618544432766</v>
      </c>
      <c r="AG6" s="300">
        <f>-10*LOG10(1/3*((1/表格14[[#This Row],[負重0g(1)]])^2+(1/表格14[[#This Row],[負重0g(2)]])^2+(1/表格14[[#This Row],[負重0g(3)]])^2))</f>
        <v>55.615334988420258</v>
      </c>
      <c r="AH6" s="300">
        <f t="shared" si="4"/>
        <v>53.583211656764156</v>
      </c>
      <c r="AI6" s="309">
        <v>0.66666666666666663</v>
      </c>
      <c r="AJ6" s="68">
        <f>RANK(表格14[[#This Row],[有負重平均值]],表格14[有負重平均值])</f>
        <v>28</v>
      </c>
      <c r="AK6" s="35">
        <f>RANK(表格14[[#This Row],[全部平均值]],表格14[全部平均值])</f>
        <v>26</v>
      </c>
      <c r="AL6" s="127">
        <f>RANK(表格14[[#This Row],[有負重標準差平均]],表格14[有負重標準差平均],1)</f>
        <v>10</v>
      </c>
      <c r="AM6" s="127">
        <f>RANK(表格14[[#This Row],[全部標準差平均]],表格14[全部標準差平均],1)</f>
        <v>6</v>
      </c>
      <c r="AN6" s="50">
        <f>RANK(表格14[[#This Row],[全部負重SN ratio]],表格14[全部負重SN ratio])</f>
        <v>25</v>
      </c>
      <c r="AO6" s="50">
        <f>AVERAGE(表格14[[#This Row],[有負重平均排名]:[全部SN ratio 排名]])</f>
        <v>19</v>
      </c>
      <c r="AP6" s="50">
        <f>RANK(表格14[[#This Row],[綜合排名平均]],表格14[綜合排名平均],1)</f>
        <v>20</v>
      </c>
    </row>
    <row r="7" spans="1:42" x14ac:dyDescent="0.3">
      <c r="A7" s="302">
        <v>6</v>
      </c>
      <c r="B7" s="62" t="s">
        <v>61</v>
      </c>
      <c r="C7" s="62" t="s">
        <v>45</v>
      </c>
      <c r="D7" s="62" t="s">
        <v>64</v>
      </c>
      <c r="E7" s="62" t="s">
        <v>49</v>
      </c>
      <c r="F7" s="62" t="s">
        <v>76</v>
      </c>
      <c r="G7" s="62" t="s">
        <v>78</v>
      </c>
      <c r="H7" s="62" t="s">
        <v>80</v>
      </c>
      <c r="I7" s="62" t="s">
        <v>230</v>
      </c>
      <c r="J7" s="62" t="s">
        <v>169</v>
      </c>
      <c r="K7" s="62" t="s">
        <v>170</v>
      </c>
      <c r="L7" s="289">
        <v>756</v>
      </c>
      <c r="M7" s="64">
        <v>531</v>
      </c>
      <c r="N7" s="64">
        <v>720</v>
      </c>
      <c r="O7" s="64">
        <v>625</v>
      </c>
      <c r="P7" s="64">
        <v>723</v>
      </c>
      <c r="Q7" s="64">
        <v>570.5</v>
      </c>
      <c r="R7" s="64">
        <v>583</v>
      </c>
      <c r="S7" s="64">
        <v>505</v>
      </c>
      <c r="T7" s="64">
        <v>503</v>
      </c>
      <c r="U7" s="306">
        <f t="shared" si="0"/>
        <v>669</v>
      </c>
      <c r="V7" s="304">
        <f t="shared" si="1"/>
        <v>674</v>
      </c>
      <c r="W7" s="304">
        <f t="shared" si="2"/>
        <v>576.75</v>
      </c>
      <c r="X7" s="86">
        <f t="shared" si="3"/>
        <v>504</v>
      </c>
      <c r="Y7" s="86">
        <f>AVERAGE(表格14[[#This Row],[負重50g(1)]:[負重150g(2)]])</f>
        <v>584.91666666666663</v>
      </c>
      <c r="Z7" s="91">
        <f>AVERAGE(表格14[[#This Row],[負重0g(1)]:[負重150g(2)]])</f>
        <v>612.94444444444446</v>
      </c>
      <c r="AA7" s="86">
        <f>_xlfn.STDEV.S(表格14[[#This Row],[負重0g(1)]],表格14[[#This Row],[負重0g(2)]],表格14[[#This Row],[負重0g(3)]])</f>
        <v>120.85942247090212</v>
      </c>
      <c r="AB7" s="86">
        <f>_xlfn.STDEV.S(表格14[[#This Row],[負重50g(1)]],表格14[[#This Row],[負重50g(2)]])</f>
        <v>69.296464556281663</v>
      </c>
      <c r="AC7" s="86">
        <f>_xlfn.STDEV.S(表格14[[#This Row],[負重100g(1)]],表格14[[#This Row],[負重100g(2)]])</f>
        <v>8.8388347648318444</v>
      </c>
      <c r="AD7" s="86">
        <f>_xlfn.STDEV.S(表格14[[#This Row],[負重150g(1)]],表格14[[#This Row],[負重150g(2)]])</f>
        <v>1.4142135623730951</v>
      </c>
      <c r="AE7" s="86">
        <f>AVERAGE(表格14[[#This Row],[標準差50g]:[標準差150g]])</f>
        <v>26.516504294495533</v>
      </c>
      <c r="AF7" s="91">
        <f>AVERAGE(表格14[[#This Row],[標準差0g]:[標準差150g]])</f>
        <v>50.102233838597186</v>
      </c>
      <c r="AG7" s="300">
        <f>-10*LOG10(1/3*((1/表格14[[#This Row],[負重0g(1)]])^2+(1/表格14[[#This Row],[負重0g(2)]])^2+(1/表格14[[#This Row],[負重0g(3)]])^2))</f>
        <v>56.182669825142199</v>
      </c>
      <c r="AH7" s="300">
        <f t="shared" si="4"/>
        <v>55.462309898522705</v>
      </c>
      <c r="AI7" s="309">
        <v>0.66666666666666663</v>
      </c>
      <c r="AJ7" s="68">
        <f>RANK(表格14[[#This Row],[有負重平均值]],表格14[有負重平均值])</f>
        <v>16</v>
      </c>
      <c r="AK7" s="35">
        <f>RANK(表格14[[#This Row],[全部平均值]],表格14[全部平均值])</f>
        <v>22</v>
      </c>
      <c r="AL7" s="127">
        <f>RANK(表格14[[#This Row],[有負重標準差平均]],表格14[有負重標準差平均],1)</f>
        <v>15</v>
      </c>
      <c r="AM7" s="127">
        <f>RANK(表格14[[#This Row],[全部標準差平均]],表格14[全部標準差平均],1)</f>
        <v>23</v>
      </c>
      <c r="AN7" s="50">
        <f>RANK(表格14[[#This Row],[全部負重SN ratio]],表格14[全部負重SN ratio])</f>
        <v>17</v>
      </c>
      <c r="AO7" s="50">
        <f>AVERAGE(表格14[[#This Row],[有負重平均排名]:[全部SN ratio 排名]])</f>
        <v>18.600000000000001</v>
      </c>
      <c r="AP7" s="50">
        <f>RANK(表格14[[#This Row],[綜合排名平均]],表格14[綜合排名平均],1)</f>
        <v>19</v>
      </c>
    </row>
    <row r="8" spans="1:42" x14ac:dyDescent="0.3">
      <c r="A8" s="302">
        <v>7</v>
      </c>
      <c r="B8" s="62" t="s">
        <v>61</v>
      </c>
      <c r="C8" s="62" t="s">
        <v>45</v>
      </c>
      <c r="D8" s="62" t="s">
        <v>66</v>
      </c>
      <c r="E8" s="62" t="s">
        <v>51</v>
      </c>
      <c r="F8" s="62" t="s">
        <v>78</v>
      </c>
      <c r="G8" s="62" t="s">
        <v>78</v>
      </c>
      <c r="H8" s="62" t="s">
        <v>80</v>
      </c>
      <c r="I8" s="62" t="s">
        <v>231</v>
      </c>
      <c r="J8" s="62" t="s">
        <v>169</v>
      </c>
      <c r="K8" s="62" t="s">
        <v>170</v>
      </c>
      <c r="L8" s="289">
        <v>591</v>
      </c>
      <c r="M8" s="64">
        <v>599.5</v>
      </c>
      <c r="N8" s="64">
        <v>583</v>
      </c>
      <c r="O8" s="64">
        <v>529</v>
      </c>
      <c r="P8" s="64">
        <v>495</v>
      </c>
      <c r="Q8" s="64">
        <v>523</v>
      </c>
      <c r="R8" s="64">
        <v>501</v>
      </c>
      <c r="S8" s="64">
        <v>456.5</v>
      </c>
      <c r="T8" s="64">
        <v>491</v>
      </c>
      <c r="U8" s="306">
        <f t="shared" si="0"/>
        <v>591.16666666666663</v>
      </c>
      <c r="V8" s="304">
        <f t="shared" si="1"/>
        <v>512</v>
      </c>
      <c r="W8" s="304">
        <f t="shared" si="2"/>
        <v>512</v>
      </c>
      <c r="X8" s="86">
        <f t="shared" si="3"/>
        <v>473.75</v>
      </c>
      <c r="Y8" s="86">
        <f>AVERAGE(表格14[[#This Row],[負重50g(1)]:[負重150g(2)]])</f>
        <v>499.25</v>
      </c>
      <c r="Z8" s="91">
        <f>AVERAGE(表格14[[#This Row],[負重0g(1)]:[負重150g(2)]])</f>
        <v>529.88888888888891</v>
      </c>
      <c r="AA8" s="86">
        <f>_xlfn.STDEV.S(表格14[[#This Row],[負重0g(1)]],表格14[[#This Row],[負重0g(2)]],表格14[[#This Row],[負重0g(3)]])</f>
        <v>8.2512625296577102</v>
      </c>
      <c r="AB8" s="86">
        <f>_xlfn.STDEV.S(表格14[[#This Row],[負重50g(1)]],表格14[[#This Row],[負重50g(2)]])</f>
        <v>24.041630560342615</v>
      </c>
      <c r="AC8" s="86">
        <f>_xlfn.STDEV.S(表格14[[#This Row],[負重100g(1)]],表格14[[#This Row],[負重100g(2)]])</f>
        <v>15.556349186104045</v>
      </c>
      <c r="AD8" s="86">
        <f>_xlfn.STDEV.S(表格14[[#This Row],[負重150g(1)]],表格14[[#This Row],[負重150g(2)]])</f>
        <v>24.395183950935891</v>
      </c>
      <c r="AE8" s="86">
        <f>AVERAGE(表格14[[#This Row],[標準差50g]:[標準差150g]])</f>
        <v>21.331054565794187</v>
      </c>
      <c r="AF8" s="91">
        <f>AVERAGE(表格14[[#This Row],[標準差0g]:[標準差150g]])</f>
        <v>18.061106556760066</v>
      </c>
      <c r="AG8" s="300">
        <f>-10*LOG10(1/3*((1/表格14[[#This Row],[負重0g(1)]])^2+(1/表格14[[#This Row],[負重0g(2)]])^2+(1/表格14[[#This Row],[負重0g(3)]])^2))</f>
        <v>55.432507359895247</v>
      </c>
      <c r="AH8" s="300">
        <f t="shared" si="4"/>
        <v>54.379869422018771</v>
      </c>
      <c r="AI8" s="309">
        <v>0.66666666666666663</v>
      </c>
      <c r="AJ8" s="68">
        <f>RANK(表格14[[#This Row],[有負重平均值]],表格14[有負重平均值])</f>
        <v>24</v>
      </c>
      <c r="AK8" s="35">
        <f>RANK(表格14[[#This Row],[全部平均值]],表格14[全部平均值])</f>
        <v>25</v>
      </c>
      <c r="AL8" s="127">
        <f>RANK(表格14[[#This Row],[有負重標準差平均]],表格14[有負重標準差平均],1)</f>
        <v>12</v>
      </c>
      <c r="AM8" s="127">
        <f>RANK(表格14[[#This Row],[全部標準差平均]],表格14[全部標準差平均],1)</f>
        <v>4</v>
      </c>
      <c r="AN8" s="50">
        <f>RANK(表格14[[#This Row],[全部負重SN ratio]],表格14[全部負重SN ratio])</f>
        <v>22</v>
      </c>
      <c r="AO8" s="50">
        <f>AVERAGE(表格14[[#This Row],[有負重平均排名]:[全部SN ratio 排名]])</f>
        <v>17.399999999999999</v>
      </c>
      <c r="AP8" s="50">
        <f>RANK(表格14[[#This Row],[綜合排名平均]],表格14[綜合排名平均],1)</f>
        <v>17</v>
      </c>
    </row>
    <row r="9" spans="1:42" x14ac:dyDescent="0.3">
      <c r="A9" s="302">
        <v>8</v>
      </c>
      <c r="B9" s="62" t="s">
        <v>61</v>
      </c>
      <c r="C9" s="62" t="s">
        <v>45</v>
      </c>
      <c r="D9" s="62" t="s">
        <v>66</v>
      </c>
      <c r="E9" s="62" t="s">
        <v>49</v>
      </c>
      <c r="F9" s="62" t="s">
        <v>76</v>
      </c>
      <c r="G9" s="62" t="s">
        <v>76</v>
      </c>
      <c r="H9" s="62" t="s">
        <v>82</v>
      </c>
      <c r="I9" s="62" t="s">
        <v>231</v>
      </c>
      <c r="J9" s="62" t="s">
        <v>169</v>
      </c>
      <c r="K9" s="62" t="s">
        <v>170</v>
      </c>
      <c r="L9" s="289">
        <v>762</v>
      </c>
      <c r="M9" s="64">
        <v>772</v>
      </c>
      <c r="N9" s="64">
        <v>743</v>
      </c>
      <c r="O9" s="64">
        <v>634</v>
      </c>
      <c r="P9" s="64">
        <v>632</v>
      </c>
      <c r="Q9" s="64">
        <v>577</v>
      </c>
      <c r="R9" s="64">
        <v>577.5</v>
      </c>
      <c r="S9" s="64">
        <v>511.5</v>
      </c>
      <c r="T9" s="64">
        <v>552.5</v>
      </c>
      <c r="U9" s="306">
        <f t="shared" si="0"/>
        <v>759</v>
      </c>
      <c r="V9" s="304">
        <f t="shared" si="1"/>
        <v>633</v>
      </c>
      <c r="W9" s="304">
        <f t="shared" si="2"/>
        <v>577.25</v>
      </c>
      <c r="X9" s="86">
        <f t="shared" si="3"/>
        <v>532</v>
      </c>
      <c r="Y9" s="86">
        <f>AVERAGE(表格14[[#This Row],[負重50g(1)]:[負重150g(2)]])</f>
        <v>580.75</v>
      </c>
      <c r="Z9" s="91">
        <f>AVERAGE(表格14[[#This Row],[負重0g(1)]:[負重150g(2)]])</f>
        <v>640.16666666666663</v>
      </c>
      <c r="AA9" s="86">
        <f>_xlfn.STDEV.S(表格14[[#This Row],[負重0g(1)]],表格14[[#This Row],[負重0g(2)]],表格14[[#This Row],[負重0g(3)]])</f>
        <v>14.730919862656235</v>
      </c>
      <c r="AB9" s="86">
        <f>_xlfn.STDEV.S(表格14[[#This Row],[負重50g(1)]],表格14[[#This Row],[負重50g(2)]])</f>
        <v>1.4142135623730951</v>
      </c>
      <c r="AC9" s="86">
        <f>_xlfn.STDEV.S(表格14[[#This Row],[負重100g(1)]],表格14[[#This Row],[負重100g(2)]])</f>
        <v>0.35355339059327379</v>
      </c>
      <c r="AD9" s="86">
        <f>_xlfn.STDEV.S(表格14[[#This Row],[負重150g(1)]],表格14[[#This Row],[負重150g(2)]])</f>
        <v>28.991378028648448</v>
      </c>
      <c r="AE9" s="86">
        <f>AVERAGE(表格14[[#This Row],[標準差50g]:[標準差150g]])</f>
        <v>10.253048327204938</v>
      </c>
      <c r="AF9" s="91">
        <f>AVERAGE(表格14[[#This Row],[標準差0g]:[標準差150g]])</f>
        <v>11.372516211067762</v>
      </c>
      <c r="AG9" s="300">
        <f>-10*LOG10(1/3*((1/表格14[[#This Row],[負重0g(1)]])^2+(1/表格14[[#This Row],[負重0g(2)]])^2+(1/表格14[[#This Row],[負重0g(3)]])^2))</f>
        <v>57.601538071738517</v>
      </c>
      <c r="AH9" s="300">
        <f t="shared" si="4"/>
        <v>55.868273364595581</v>
      </c>
      <c r="AI9" s="309">
        <v>0.55555555555555558</v>
      </c>
      <c r="AJ9" s="68">
        <f>RANK(表格14[[#This Row],[有負重平均值]],表格14[有負重平均值])</f>
        <v>18</v>
      </c>
      <c r="AK9" s="35">
        <f>RANK(表格14[[#This Row],[全部平均值]],表格14[全部平均值])</f>
        <v>20</v>
      </c>
      <c r="AL9" s="127">
        <f>RANK(表格14[[#This Row],[有負重標準差平均]],表格14[有負重標準差平均],1)</f>
        <v>6</v>
      </c>
      <c r="AM9" s="127">
        <f>RANK(表格14[[#This Row],[全部標準差平均]],表格14[全部標準差平均],1)</f>
        <v>2</v>
      </c>
      <c r="AN9" s="50">
        <f>RANK(表格14[[#This Row],[全部負重SN ratio]],表格14[全部負重SN ratio])</f>
        <v>13</v>
      </c>
      <c r="AO9" s="50">
        <f>AVERAGE(表格14[[#This Row],[有負重平均排名]:[全部SN ratio 排名]])</f>
        <v>11.8</v>
      </c>
      <c r="AP9" s="50">
        <f>RANK(表格14[[#This Row],[綜合排名平均]],表格14[綜合排名平均],1)</f>
        <v>8</v>
      </c>
    </row>
    <row r="10" spans="1:42" x14ac:dyDescent="0.3">
      <c r="A10" s="302">
        <v>9</v>
      </c>
      <c r="B10" s="62" t="s">
        <v>74</v>
      </c>
      <c r="C10" s="62" t="s">
        <v>46</v>
      </c>
      <c r="D10" s="62" t="s">
        <v>64</v>
      </c>
      <c r="E10" s="62" t="s">
        <v>51</v>
      </c>
      <c r="F10" s="62" t="s">
        <v>76</v>
      </c>
      <c r="G10" s="62" t="s">
        <v>76</v>
      </c>
      <c r="H10" s="62" t="s">
        <v>82</v>
      </c>
      <c r="I10" s="62" t="s">
        <v>230</v>
      </c>
      <c r="J10" s="62" t="s">
        <v>169</v>
      </c>
      <c r="K10" s="62" t="s">
        <v>170</v>
      </c>
      <c r="L10" s="289">
        <v>773</v>
      </c>
      <c r="M10" s="64">
        <v>834</v>
      </c>
      <c r="N10" s="64">
        <v>858</v>
      </c>
      <c r="O10" s="64">
        <v>675</v>
      </c>
      <c r="P10" s="64">
        <v>641</v>
      </c>
      <c r="Q10" s="64">
        <v>611</v>
      </c>
      <c r="R10" s="64">
        <v>520</v>
      </c>
      <c r="S10" s="64">
        <v>514</v>
      </c>
      <c r="T10" s="64">
        <v>486</v>
      </c>
      <c r="U10" s="306">
        <f t="shared" si="0"/>
        <v>821.66666666666663</v>
      </c>
      <c r="V10" s="304">
        <f t="shared" si="1"/>
        <v>658</v>
      </c>
      <c r="W10" s="304">
        <f t="shared" si="2"/>
        <v>565.5</v>
      </c>
      <c r="X10" s="86">
        <f t="shared" si="3"/>
        <v>500</v>
      </c>
      <c r="Y10" s="86">
        <f>AVERAGE(表格14[[#This Row],[負重50g(1)]:[負重150g(2)]])</f>
        <v>574.5</v>
      </c>
      <c r="Z10" s="91">
        <f>AVERAGE(表格14[[#This Row],[負重0g(1)]:[負重150g(2)]])</f>
        <v>656.88888888888891</v>
      </c>
      <c r="AA10" s="86">
        <f>_xlfn.STDEV.S(表格14[[#This Row],[負重0g(1)]],表格14[[#This Row],[負重0g(2)]],表格14[[#This Row],[負重0g(3)]])</f>
        <v>43.821608064211127</v>
      </c>
      <c r="AB10" s="86">
        <f>_xlfn.STDEV.S(表格14[[#This Row],[負重50g(1)]],表格14[[#This Row],[負重50g(2)]])</f>
        <v>24.041630560342615</v>
      </c>
      <c r="AC10" s="86">
        <f>_xlfn.STDEV.S(表格14[[#This Row],[負重100g(1)]],表格14[[#This Row],[負重100g(2)]])</f>
        <v>64.346717087975819</v>
      </c>
      <c r="AD10" s="86">
        <f>_xlfn.STDEV.S(表格14[[#This Row],[負重150g(1)]],表格14[[#This Row],[負重150g(2)]])</f>
        <v>19.798989873223331</v>
      </c>
      <c r="AE10" s="86">
        <f>AVERAGE(表格14[[#This Row],[標準差50g]:[標準差150g]])</f>
        <v>36.062445840513924</v>
      </c>
      <c r="AF10" s="91">
        <f>AVERAGE(表格14[[#This Row],[標準差0g]:[標準差150g]])</f>
        <v>38.002236396438221</v>
      </c>
      <c r="AG10" s="300">
        <f>-10*LOG10(1/3*((1/表格14[[#This Row],[負重0g(1)]])^2+(1/表格14[[#This Row],[負重0g(2)]])^2+(1/表格14[[#This Row],[負重0g(3)]])^2))</f>
        <v>58.268476730885972</v>
      </c>
      <c r="AH10" s="300">
        <f t="shared" si="4"/>
        <v>55.832863189330794</v>
      </c>
      <c r="AI10" s="309">
        <v>0</v>
      </c>
      <c r="AJ10" s="68">
        <f>RANK(表格14[[#This Row],[有負重平均值]],表格14[有負重平均值])</f>
        <v>19</v>
      </c>
      <c r="AK10" s="35">
        <f>RANK(表格14[[#This Row],[全部平均值]],表格14[全部平均值])</f>
        <v>19</v>
      </c>
      <c r="AL10" s="127">
        <f>RANK(表格14[[#This Row],[有負重標準差平均]],表格14[有負重標準差平均],1)</f>
        <v>24</v>
      </c>
      <c r="AM10" s="127">
        <f>RANK(表格14[[#This Row],[全部標準差平均]],表格14[全部標準差平均],1)</f>
        <v>21</v>
      </c>
      <c r="AN10" s="50">
        <f>RANK(表格14[[#This Row],[全部負重SN ratio]],表格14[全部負重SN ratio])</f>
        <v>14</v>
      </c>
      <c r="AO10" s="50">
        <f>AVERAGE(表格14[[#This Row],[有負重平均排名]:[全部SN ratio 排名]])</f>
        <v>19.399999999999999</v>
      </c>
      <c r="AP10" s="50">
        <f>RANK(表格14[[#This Row],[綜合排名平均]],表格14[綜合排名平均],1)</f>
        <v>23</v>
      </c>
    </row>
    <row r="11" spans="1:42" x14ac:dyDescent="0.3">
      <c r="A11" s="302">
        <v>10</v>
      </c>
      <c r="B11" s="62" t="s">
        <v>74</v>
      </c>
      <c r="C11" s="62" t="s">
        <v>46</v>
      </c>
      <c r="D11" s="62" t="s">
        <v>64</v>
      </c>
      <c r="E11" s="62" t="s">
        <v>49</v>
      </c>
      <c r="F11" s="62" t="s">
        <v>78</v>
      </c>
      <c r="G11" s="62" t="s">
        <v>78</v>
      </c>
      <c r="H11" s="62" t="s">
        <v>80</v>
      </c>
      <c r="I11" s="62" t="s">
        <v>230</v>
      </c>
      <c r="J11" s="62" t="s">
        <v>169</v>
      </c>
      <c r="K11" s="62" t="s">
        <v>170</v>
      </c>
      <c r="L11" s="289">
        <v>1088</v>
      </c>
      <c r="M11" s="64">
        <v>983</v>
      </c>
      <c r="N11" s="64">
        <v>1010</v>
      </c>
      <c r="O11" s="64">
        <v>967</v>
      </c>
      <c r="P11" s="64">
        <v>943.5</v>
      </c>
      <c r="Q11" s="64">
        <v>578</v>
      </c>
      <c r="R11" s="64">
        <v>572</v>
      </c>
      <c r="S11" s="64">
        <v>328</v>
      </c>
      <c r="T11" s="64">
        <v>348.5</v>
      </c>
      <c r="U11" s="306">
        <f t="shared" si="0"/>
        <v>1027</v>
      </c>
      <c r="V11" s="304">
        <f t="shared" si="1"/>
        <v>955.25</v>
      </c>
      <c r="W11" s="304">
        <f t="shared" si="2"/>
        <v>575</v>
      </c>
      <c r="X11" s="86">
        <f t="shared" si="3"/>
        <v>338.25</v>
      </c>
      <c r="Y11" s="86">
        <f>AVERAGE(表格14[[#This Row],[負重50g(1)]:[負重150g(2)]])</f>
        <v>622.83333333333337</v>
      </c>
      <c r="Z11" s="91">
        <f>AVERAGE(表格14[[#This Row],[負重0g(1)]:[負重150g(2)]])</f>
        <v>757.55555555555554</v>
      </c>
      <c r="AA11" s="86">
        <f>_xlfn.STDEV.S(表格14[[#This Row],[負重0g(1)]],表格14[[#This Row],[負重0g(2)]],表格14[[#This Row],[負重0g(3)]])</f>
        <v>54.52522352086234</v>
      </c>
      <c r="AB11" s="86">
        <f>_xlfn.STDEV.S(表格14[[#This Row],[負重50g(1)]],表格14[[#This Row],[負重50g(2)]])</f>
        <v>16.617009357883866</v>
      </c>
      <c r="AC11" s="86">
        <f>_xlfn.STDEV.S(表格14[[#This Row],[負重100g(1)]],表格14[[#This Row],[負重100g(2)]])</f>
        <v>4.2426406871192848</v>
      </c>
      <c r="AD11" s="86">
        <f>_xlfn.STDEV.S(表格14[[#This Row],[負重150g(1)]],表格14[[#This Row],[負重150g(2)]])</f>
        <v>14.495689014324224</v>
      </c>
      <c r="AE11" s="86">
        <f>AVERAGE(表格14[[#This Row],[標準差50g]:[標準差150g]])</f>
        <v>11.785113019775793</v>
      </c>
      <c r="AF11" s="91">
        <f>AVERAGE(表格14[[#This Row],[標準差0g]:[標準差150g]])</f>
        <v>22.470140645047429</v>
      </c>
      <c r="AG11" s="300">
        <f>-10*LOG10(1/3*((1/表格14[[#This Row],[負重0g(1)]])^2+(1/表格14[[#This Row],[負重0g(2)]])^2+(1/表格14[[#This Row],[負重0g(3)]])^2))</f>
        <v>60.207612384576393</v>
      </c>
      <c r="AH11" s="300">
        <f t="shared" si="4"/>
        <v>54.97404103760352</v>
      </c>
      <c r="AI11" s="309">
        <v>0.55555555555555558</v>
      </c>
      <c r="AJ11" s="68">
        <f>RANK(表格14[[#This Row],[有負重平均值]],表格14[有負重平均值])</f>
        <v>14</v>
      </c>
      <c r="AK11" s="35">
        <f>RANK(表格14[[#This Row],[全部平均值]],表格14[全部平均值])</f>
        <v>14</v>
      </c>
      <c r="AL11" s="127">
        <f>RANK(表格14[[#This Row],[有負重標準差平均]],表格14[有負重標準差平均],1)</f>
        <v>7</v>
      </c>
      <c r="AM11" s="127">
        <f>RANK(表格14[[#This Row],[全部標準差平均]],表格14[全部標準差平均],1)</f>
        <v>10</v>
      </c>
      <c r="AN11" s="50">
        <f>RANK(表格14[[#This Row],[全部負重SN ratio]],表格14[全部負重SN ratio])</f>
        <v>20</v>
      </c>
      <c r="AO11" s="50">
        <f>AVERAGE(表格14[[#This Row],[有負重平均排名]:[全部SN ratio 排名]])</f>
        <v>13</v>
      </c>
      <c r="AP11" s="50">
        <f>RANK(表格14[[#This Row],[綜合排名平均]],表格14[綜合排名平均],1)</f>
        <v>11</v>
      </c>
    </row>
    <row r="12" spans="1:42" ht="16.8" customHeight="1" x14ac:dyDescent="0.3">
      <c r="A12" s="302">
        <v>11</v>
      </c>
      <c r="B12" s="62" t="s">
        <v>74</v>
      </c>
      <c r="C12" s="62" t="s">
        <v>46</v>
      </c>
      <c r="D12" s="62" t="s">
        <v>66</v>
      </c>
      <c r="E12" s="62" t="s">
        <v>51</v>
      </c>
      <c r="F12" s="62" t="s">
        <v>76</v>
      </c>
      <c r="G12" s="62" t="s">
        <v>78</v>
      </c>
      <c r="H12" s="62" t="s">
        <v>80</v>
      </c>
      <c r="I12" s="62" t="s">
        <v>231</v>
      </c>
      <c r="J12" s="62" t="s">
        <v>169</v>
      </c>
      <c r="K12" s="62" t="s">
        <v>170</v>
      </c>
      <c r="L12" s="289">
        <v>1006</v>
      </c>
      <c r="M12" s="64">
        <v>1124</v>
      </c>
      <c r="N12" s="64">
        <v>1132</v>
      </c>
      <c r="O12" s="64">
        <v>1005</v>
      </c>
      <c r="P12" s="64">
        <v>991</v>
      </c>
      <c r="Q12" s="64">
        <v>810</v>
      </c>
      <c r="R12" s="64">
        <v>623</v>
      </c>
      <c r="S12" s="64">
        <v>596.5</v>
      </c>
      <c r="T12" s="64">
        <v>618</v>
      </c>
      <c r="U12" s="306">
        <f t="shared" si="0"/>
        <v>1087.3333333333333</v>
      </c>
      <c r="V12" s="304">
        <f t="shared" si="1"/>
        <v>998</v>
      </c>
      <c r="W12" s="304">
        <f t="shared" si="2"/>
        <v>716.5</v>
      </c>
      <c r="X12" s="86">
        <f t="shared" si="3"/>
        <v>607.25</v>
      </c>
      <c r="Y12" s="86">
        <f>AVERAGE(表格14[[#This Row],[負重50g(1)]:[負重150g(2)]])</f>
        <v>773.91666666666663</v>
      </c>
      <c r="Z12" s="91">
        <f>AVERAGE(表格14[[#This Row],[負重0g(1)]:[負重150g(2)]])</f>
        <v>878.38888888888891</v>
      </c>
      <c r="AA12" s="86">
        <f>_xlfn.STDEV.S(表格14[[#This Row],[負重0g(1)]],表格14[[#This Row],[負重0g(2)]],表格14[[#This Row],[負重0g(3)]])</f>
        <v>70.550218520804975</v>
      </c>
      <c r="AB12" s="86">
        <f>_xlfn.STDEV.S(表格14[[#This Row],[負重50g(1)]],表格14[[#This Row],[負重50g(2)]])</f>
        <v>9.8994949366116654</v>
      </c>
      <c r="AC12" s="86">
        <f>_xlfn.STDEV.S(表格14[[#This Row],[負重100g(1)]],表格14[[#This Row],[負重100g(2)]])</f>
        <v>132.22896808188437</v>
      </c>
      <c r="AD12" s="86">
        <f>_xlfn.STDEV.S(表格14[[#This Row],[負重150g(1)]],表格14[[#This Row],[負重150g(2)]])</f>
        <v>15.202795795510772</v>
      </c>
      <c r="AE12" s="86">
        <f>AVERAGE(表格14[[#This Row],[標準差50g]:[標準差150g]])</f>
        <v>52.44375293800227</v>
      </c>
      <c r="AF12" s="91">
        <f>AVERAGE(表格14[[#This Row],[標準差0g]:[標準差150g]])</f>
        <v>56.970369333702948</v>
      </c>
      <c r="AG12" s="300">
        <f>-10*LOG10(1/3*((1/表格14[[#This Row],[負重0g(1)]])^2+(1/表格14[[#This Row],[負重0g(2)]])^2+(1/表格14[[#This Row],[負重0g(3)]])^2))</f>
        <v>60.688780723368993</v>
      </c>
      <c r="AH12" s="300">
        <f t="shared" si="4"/>
        <v>58.050926048103165</v>
      </c>
      <c r="AI12" s="309">
        <v>0.55555555555555558</v>
      </c>
      <c r="AJ12" s="68">
        <f>RANK(表格14[[#This Row],[有負重平均值]],表格14[有負重平均值])</f>
        <v>4</v>
      </c>
      <c r="AK12" s="35">
        <f>RANK(表格14[[#This Row],[全部平均值]],表格14[全部平均值])</f>
        <v>2</v>
      </c>
      <c r="AL12" s="127">
        <f>RANK(表格14[[#This Row],[有負重標準差平均]],表格14[有負重標準差平均],1)</f>
        <v>27</v>
      </c>
      <c r="AM12" s="127">
        <f>RANK(表格14[[#This Row],[全部標準差平均]],表格14[全部標準差平均],1)</f>
        <v>25</v>
      </c>
      <c r="AN12" s="50">
        <f>RANK(表格14[[#This Row],[全部負重SN ratio]],表格14[全部負重SN ratio])</f>
        <v>5</v>
      </c>
      <c r="AO12" s="50">
        <f>AVERAGE(表格14[[#This Row],[有負重平均排名]:[全部SN ratio 排名]])</f>
        <v>12.6</v>
      </c>
      <c r="AP12" s="50">
        <f>RANK(表格14[[#This Row],[綜合排名平均]],表格14[綜合排名平均],1)</f>
        <v>10</v>
      </c>
    </row>
    <row r="13" spans="1:42" x14ac:dyDescent="0.3">
      <c r="A13" s="302">
        <v>12</v>
      </c>
      <c r="B13" s="62" t="s">
        <v>74</v>
      </c>
      <c r="C13" s="62" t="s">
        <v>46</v>
      </c>
      <c r="D13" s="62" t="s">
        <v>66</v>
      </c>
      <c r="E13" s="62" t="s">
        <v>49</v>
      </c>
      <c r="F13" s="62" t="s">
        <v>78</v>
      </c>
      <c r="G13" s="62" t="s">
        <v>76</v>
      </c>
      <c r="H13" s="62" t="s">
        <v>82</v>
      </c>
      <c r="I13" s="62" t="s">
        <v>231</v>
      </c>
      <c r="J13" s="62" t="s">
        <v>169</v>
      </c>
      <c r="K13" s="62" t="s">
        <v>170</v>
      </c>
      <c r="L13" s="289">
        <v>1337</v>
      </c>
      <c r="M13" s="64">
        <v>1295</v>
      </c>
      <c r="N13" s="64">
        <v>989</v>
      </c>
      <c r="O13" s="64">
        <v>497</v>
      </c>
      <c r="P13" s="64">
        <v>528</v>
      </c>
      <c r="Q13" s="64">
        <v>475</v>
      </c>
      <c r="R13" s="64">
        <v>467</v>
      </c>
      <c r="S13" s="64">
        <v>454</v>
      </c>
      <c r="T13" s="64">
        <v>469</v>
      </c>
      <c r="U13" s="306">
        <f t="shared" si="0"/>
        <v>1207</v>
      </c>
      <c r="V13" s="304">
        <f t="shared" si="1"/>
        <v>512.5</v>
      </c>
      <c r="W13" s="304">
        <f t="shared" si="2"/>
        <v>471</v>
      </c>
      <c r="X13" s="86">
        <f t="shared" si="3"/>
        <v>461.5</v>
      </c>
      <c r="Y13" s="86">
        <f>AVERAGE(表格14[[#This Row],[負重50g(1)]:[負重150g(2)]])</f>
        <v>481.66666666666669</v>
      </c>
      <c r="Z13" s="91">
        <f>AVERAGE(表格14[[#This Row],[負重0g(1)]:[負重150g(2)]])</f>
        <v>723.44444444444446</v>
      </c>
      <c r="AA13" s="86">
        <f>_xlfn.STDEV.S(表格14[[#This Row],[負重0g(1)]],表格14[[#This Row],[負重0g(2)]],表格14[[#This Row],[負重0g(3)]])</f>
        <v>189.9578900704048</v>
      </c>
      <c r="AB13" s="86">
        <f>_xlfn.STDEV.S(表格14[[#This Row],[負重50g(1)]],表格14[[#This Row],[負重50g(2)]])</f>
        <v>21.920310216782973</v>
      </c>
      <c r="AC13" s="86">
        <f>_xlfn.STDEV.S(表格14[[#This Row],[負重100g(1)]],表格14[[#This Row],[負重100g(2)]])</f>
        <v>5.6568542494923806</v>
      </c>
      <c r="AD13" s="86">
        <f>_xlfn.STDEV.S(表格14[[#This Row],[負重150g(1)]],表格14[[#This Row],[負重150g(2)]])</f>
        <v>10.606601717798213</v>
      </c>
      <c r="AE13" s="86">
        <f>AVERAGE(表格14[[#This Row],[標準差50g]:[標準差150g]])</f>
        <v>12.727922061357853</v>
      </c>
      <c r="AF13" s="91">
        <f>AVERAGE(表格14[[#This Row],[標準差0g]:[標準差150g]])</f>
        <v>57.035414063619591</v>
      </c>
      <c r="AG13" s="300">
        <f>-10*LOG10(1/3*((1/表格14[[#This Row],[負重0g(1)]])^2+(1/表格14[[#This Row],[負重0g(2)]])^2+(1/表格14[[#This Row],[負重0g(3)]])^2))</f>
        <v>61.390471492212981</v>
      </c>
      <c r="AH13" s="300">
        <f t="shared" si="4"/>
        <v>55.035495130368382</v>
      </c>
      <c r="AI13" s="309">
        <v>0.22222222222222221</v>
      </c>
      <c r="AJ13" s="68">
        <f>RANK(表格14[[#This Row],[有負重平均值]],表格14[有負重平均值])</f>
        <v>25</v>
      </c>
      <c r="AK13" s="35">
        <f>RANK(表格14[[#This Row],[全部平均值]],表格14[全部平均值])</f>
        <v>17</v>
      </c>
      <c r="AL13" s="127">
        <f>RANK(表格14[[#This Row],[有負重標準差平均]],表格14[有負重標準差平均],1)</f>
        <v>8</v>
      </c>
      <c r="AM13" s="127">
        <f>RANK(表格14[[#This Row],[全部標準差平均]],表格14[全部標準差平均],1)</f>
        <v>26</v>
      </c>
      <c r="AN13" s="50">
        <f>RANK(表格14[[#This Row],[全部負重SN ratio]],表格14[全部負重SN ratio])</f>
        <v>19</v>
      </c>
      <c r="AO13" s="50">
        <f>AVERAGE(表格14[[#This Row],[有負重平均排名]:[全部SN ratio 排名]])</f>
        <v>19</v>
      </c>
      <c r="AP13" s="50">
        <f>RANK(表格14[[#This Row],[綜合排名平均]],表格14[綜合排名平均],1)</f>
        <v>20</v>
      </c>
    </row>
    <row r="14" spans="1:42" ht="16.8" customHeight="1" x14ac:dyDescent="0.3">
      <c r="A14" s="302">
        <v>13</v>
      </c>
      <c r="B14" s="62" t="s">
        <v>74</v>
      </c>
      <c r="C14" s="62" t="s">
        <v>45</v>
      </c>
      <c r="D14" s="62" t="s">
        <v>64</v>
      </c>
      <c r="E14" s="62" t="s">
        <v>51</v>
      </c>
      <c r="F14" s="62" t="s">
        <v>78</v>
      </c>
      <c r="G14" s="62" t="s">
        <v>76</v>
      </c>
      <c r="H14" s="62" t="s">
        <v>80</v>
      </c>
      <c r="I14" s="62" t="s">
        <v>230</v>
      </c>
      <c r="J14" s="62" t="s">
        <v>169</v>
      </c>
      <c r="K14" s="62" t="s">
        <v>170</v>
      </c>
      <c r="L14" s="289">
        <v>763</v>
      </c>
      <c r="M14" s="64">
        <v>817</v>
      </c>
      <c r="N14" s="64">
        <v>790</v>
      </c>
      <c r="O14" s="64">
        <v>594.5</v>
      </c>
      <c r="P14" s="64">
        <v>622</v>
      </c>
      <c r="Q14" s="64">
        <v>549</v>
      </c>
      <c r="R14" s="64">
        <v>553</v>
      </c>
      <c r="S14" s="64">
        <v>480</v>
      </c>
      <c r="T14" s="64">
        <v>520</v>
      </c>
      <c r="U14" s="306">
        <f t="shared" si="0"/>
        <v>790</v>
      </c>
      <c r="V14" s="304">
        <f t="shared" si="1"/>
        <v>608.25</v>
      </c>
      <c r="W14" s="304">
        <f t="shared" si="2"/>
        <v>551</v>
      </c>
      <c r="X14" s="86">
        <f t="shared" si="3"/>
        <v>500</v>
      </c>
      <c r="Y14" s="86">
        <f>AVERAGE(表格14[[#This Row],[負重50g(1)]:[負重150g(2)]])</f>
        <v>553.08333333333337</v>
      </c>
      <c r="Z14" s="91">
        <f>AVERAGE(表格14[[#This Row],[負重0g(1)]:[負重150g(2)]])</f>
        <v>632.05555555555554</v>
      </c>
      <c r="AA14" s="86">
        <f>_xlfn.STDEV.S(表格14[[#This Row],[負重0g(1)]],表格14[[#This Row],[負重0g(2)]],表格14[[#This Row],[負重0g(3)]])</f>
        <v>27</v>
      </c>
      <c r="AB14" s="86">
        <f>_xlfn.STDEV.S(表格14[[#This Row],[負重50g(1)]],表格14[[#This Row],[負重50g(2)]])</f>
        <v>19.445436482630058</v>
      </c>
      <c r="AC14" s="86">
        <f>_xlfn.STDEV.S(表格14[[#This Row],[負重100g(1)]],表格14[[#This Row],[負重100g(2)]])</f>
        <v>2.8284271247461903</v>
      </c>
      <c r="AD14" s="86">
        <f>_xlfn.STDEV.S(表格14[[#This Row],[負重150g(1)]],表格14[[#This Row],[負重150g(2)]])</f>
        <v>28.284271247461902</v>
      </c>
      <c r="AE14" s="86">
        <f>AVERAGE(表格14[[#This Row],[標準差50g]:[標準差150g]])</f>
        <v>16.852711618279383</v>
      </c>
      <c r="AF14" s="91">
        <f>AVERAGE(表格14[[#This Row],[標準差0g]:[標準差150g]])</f>
        <v>19.38953371370954</v>
      </c>
      <c r="AG14" s="300">
        <f>-10*LOG10(1/3*((1/表格14[[#This Row],[負重0g(1)]])^2+(1/表格14[[#This Row],[負重0g(2)]])^2+(1/表格14[[#This Row],[負重0g(3)]])^2))</f>
        <v>57.942388088743584</v>
      </c>
      <c r="AH14" s="300">
        <f t="shared" si="4"/>
        <v>55.587641503410339</v>
      </c>
      <c r="AI14" s="309">
        <v>0</v>
      </c>
      <c r="AJ14" s="68">
        <f>RANK(表格14[[#This Row],[有負重平均值]],表格14[有負重平均值])</f>
        <v>20</v>
      </c>
      <c r="AK14" s="35">
        <f>RANK(表格14[[#This Row],[全部平均值]],表格14[全部平均值])</f>
        <v>21</v>
      </c>
      <c r="AL14" s="127">
        <f>RANK(表格14[[#This Row],[有負重標準差平均]],表格14[有負重標準差平均],1)</f>
        <v>9</v>
      </c>
      <c r="AM14" s="127">
        <f>RANK(表格14[[#This Row],[全部標準差平均]],表格14[全部標準差平均],1)</f>
        <v>5</v>
      </c>
      <c r="AN14" s="50">
        <f>RANK(表格14[[#This Row],[全部負重SN ratio]],表格14[全部負重SN ratio])</f>
        <v>16</v>
      </c>
      <c r="AO14" s="50">
        <f>AVERAGE(表格14[[#This Row],[有負重平均排名]:[全部SN ratio 排名]])</f>
        <v>14.2</v>
      </c>
      <c r="AP14" s="50">
        <f>RANK(表格14[[#This Row],[綜合排名平均]],表格14[綜合排名平均],1)</f>
        <v>15</v>
      </c>
    </row>
    <row r="15" spans="1:42" x14ac:dyDescent="0.3">
      <c r="A15" s="302">
        <v>14</v>
      </c>
      <c r="B15" s="62" t="s">
        <v>74</v>
      </c>
      <c r="C15" s="62" t="s">
        <v>45</v>
      </c>
      <c r="D15" s="62" t="s">
        <v>64</v>
      </c>
      <c r="E15" s="62" t="s">
        <v>49</v>
      </c>
      <c r="F15" s="62" t="s">
        <v>76</v>
      </c>
      <c r="G15" s="62" t="s">
        <v>78</v>
      </c>
      <c r="H15" s="62" t="s">
        <v>82</v>
      </c>
      <c r="I15" s="62" t="s">
        <v>230</v>
      </c>
      <c r="J15" s="62" t="s">
        <v>169</v>
      </c>
      <c r="K15" s="62" t="s">
        <v>170</v>
      </c>
      <c r="L15" s="289">
        <v>825</v>
      </c>
      <c r="M15" s="64">
        <v>908</v>
      </c>
      <c r="N15" s="64">
        <v>1204</v>
      </c>
      <c r="O15" s="64">
        <v>1088</v>
      </c>
      <c r="P15" s="64">
        <v>1086</v>
      </c>
      <c r="Q15" s="64">
        <v>614</v>
      </c>
      <c r="R15" s="64">
        <v>369</v>
      </c>
      <c r="S15" s="64">
        <v>325</v>
      </c>
      <c r="T15" s="64">
        <v>340</v>
      </c>
      <c r="U15" s="306">
        <f t="shared" si="0"/>
        <v>979</v>
      </c>
      <c r="V15" s="304">
        <f t="shared" si="1"/>
        <v>1087</v>
      </c>
      <c r="W15" s="304">
        <f t="shared" si="2"/>
        <v>491.5</v>
      </c>
      <c r="X15" s="86">
        <f t="shared" si="3"/>
        <v>332.5</v>
      </c>
      <c r="Y15" s="86">
        <f>AVERAGE(表格14[[#This Row],[負重50g(1)]:[負重150g(2)]])</f>
        <v>637</v>
      </c>
      <c r="Z15" s="91">
        <f>AVERAGE(表格14[[#This Row],[負重0g(1)]:[負重150g(2)]])</f>
        <v>751</v>
      </c>
      <c r="AA15" s="86">
        <f>_xlfn.STDEV.S(表格14[[#This Row],[負重0g(1)]],表格14[[#This Row],[負重0g(2)]],表格14[[#This Row],[負重0g(3)]])</f>
        <v>199.22600231897442</v>
      </c>
      <c r="AB15" s="86">
        <f>_xlfn.STDEV.S(表格14[[#This Row],[負重50g(1)]],表格14[[#This Row],[負重50g(2)]])</f>
        <v>1.4142135623730951</v>
      </c>
      <c r="AC15" s="86">
        <f>_xlfn.STDEV.S(表格14[[#This Row],[負重100g(1)]],表格14[[#This Row],[負重100g(2)]])</f>
        <v>173.24116139070415</v>
      </c>
      <c r="AD15" s="86">
        <f>_xlfn.STDEV.S(表格14[[#This Row],[負重150g(1)]],表格14[[#This Row],[負重150g(2)]])</f>
        <v>10.606601717798213</v>
      </c>
      <c r="AE15" s="86">
        <f>AVERAGE(表格14[[#This Row],[標準差50g]:[標準差150g]])</f>
        <v>61.753992223625154</v>
      </c>
      <c r="AF15" s="91">
        <f>AVERAGE(表格14[[#This Row],[標準差0g]:[標準差150g]])</f>
        <v>96.12199474746248</v>
      </c>
      <c r="AG15" s="300">
        <f>-10*LOG10(1/3*((1/表格14[[#This Row],[負重0g(1)]])^2+(1/表格14[[#This Row],[負重0g(2)]])^2+(1/表格14[[#This Row],[負重0g(3)]])^2))</f>
        <v>59.49235629835858</v>
      </c>
      <c r="AH15" s="300">
        <f t="shared" si="4"/>
        <v>54.33373675155017</v>
      </c>
      <c r="AI15" s="309">
        <v>0.33333333333333331</v>
      </c>
      <c r="AJ15" s="68">
        <f>RANK(表格14[[#This Row],[有負重平均值]],表格14[有負重平均值])</f>
        <v>11</v>
      </c>
      <c r="AK15" s="35">
        <f>RANK(表格14[[#This Row],[全部平均值]],表格14[全部平均值])</f>
        <v>15</v>
      </c>
      <c r="AL15" s="127">
        <f>RANK(表格14[[#This Row],[有負重標準差平均]],表格14[有負重標準差平均],1)</f>
        <v>28</v>
      </c>
      <c r="AM15" s="127">
        <f>RANK(表格14[[#This Row],[全部標準差平均]],表格14[全部標準差平均],1)</f>
        <v>28</v>
      </c>
      <c r="AN15" s="50">
        <f>RANK(表格14[[#This Row],[全部負重SN ratio]],表格14[全部負重SN ratio])</f>
        <v>23</v>
      </c>
      <c r="AO15" s="50">
        <f>AVERAGE(表格14[[#This Row],[有負重平均排名]:[全部SN ratio 排名]])</f>
        <v>21</v>
      </c>
      <c r="AP15" s="50">
        <f>RANK(表格14[[#This Row],[綜合排名平均]],表格14[綜合排名平均],1)</f>
        <v>25</v>
      </c>
    </row>
    <row r="16" spans="1:42" x14ac:dyDescent="0.3">
      <c r="A16" s="302">
        <v>15</v>
      </c>
      <c r="B16" s="62" t="s">
        <v>74</v>
      </c>
      <c r="C16" s="62" t="s">
        <v>45</v>
      </c>
      <c r="D16" s="62" t="s">
        <v>66</v>
      </c>
      <c r="E16" s="62" t="s">
        <v>51</v>
      </c>
      <c r="F16" s="62" t="s">
        <v>78</v>
      </c>
      <c r="G16" s="62" t="s">
        <v>78</v>
      </c>
      <c r="H16" s="62" t="s">
        <v>82</v>
      </c>
      <c r="I16" s="62" t="s">
        <v>231</v>
      </c>
      <c r="J16" s="62" t="s">
        <v>169</v>
      </c>
      <c r="K16" s="62" t="s">
        <v>170</v>
      </c>
      <c r="L16" s="289">
        <v>945</v>
      </c>
      <c r="M16" s="64">
        <v>1046</v>
      </c>
      <c r="N16" s="64">
        <v>983</v>
      </c>
      <c r="O16" s="64">
        <v>975</v>
      </c>
      <c r="P16" s="64">
        <v>1004</v>
      </c>
      <c r="Q16" s="64">
        <v>635</v>
      </c>
      <c r="R16" s="64">
        <v>603.5</v>
      </c>
      <c r="S16" s="64">
        <v>491</v>
      </c>
      <c r="T16" s="64">
        <v>560</v>
      </c>
      <c r="U16" s="306">
        <f t="shared" si="0"/>
        <v>991.33333333333337</v>
      </c>
      <c r="V16" s="304">
        <f t="shared" si="1"/>
        <v>989.5</v>
      </c>
      <c r="W16" s="304">
        <f t="shared" si="2"/>
        <v>619.25</v>
      </c>
      <c r="X16" s="86">
        <f t="shared" si="3"/>
        <v>525.5</v>
      </c>
      <c r="Y16" s="86">
        <f>AVERAGE(表格14[[#This Row],[負重50g(1)]:[負重150g(2)]])</f>
        <v>711.41666666666663</v>
      </c>
      <c r="Z16" s="91">
        <f>AVERAGE(表格14[[#This Row],[負重0g(1)]:[負重150g(2)]])</f>
        <v>804.72222222222217</v>
      </c>
      <c r="AA16" s="86">
        <f>_xlfn.STDEV.S(表格14[[#This Row],[負重0g(1)]],表格14[[#This Row],[負重0g(2)]],表格14[[#This Row],[負重0g(3)]])</f>
        <v>51.013070220614381</v>
      </c>
      <c r="AB16" s="86">
        <f>_xlfn.STDEV.S(表格14[[#This Row],[負重50g(1)]],表格14[[#This Row],[負重50g(2)]])</f>
        <v>20.506096654409877</v>
      </c>
      <c r="AC16" s="86">
        <f>_xlfn.STDEV.S(表格14[[#This Row],[負重100g(1)]],表格14[[#This Row],[負重100g(2)]])</f>
        <v>22.273863607376246</v>
      </c>
      <c r="AD16" s="86">
        <f>_xlfn.STDEV.S(表格14[[#This Row],[負重150g(1)]],表格14[[#This Row],[負重150g(2)]])</f>
        <v>48.790367901871782</v>
      </c>
      <c r="AE16" s="86">
        <f>AVERAGE(表格14[[#This Row],[標準差50g]:[標準差150g]])</f>
        <v>30.5234427212193</v>
      </c>
      <c r="AF16" s="91">
        <f>AVERAGE(表格14[[#This Row],[標準差0g]:[標準差150g]])</f>
        <v>35.645849596068068</v>
      </c>
      <c r="AG16" s="300">
        <f>-10*LOG10(1/3*((1/表格14[[#This Row],[負重0g(1)]])^2+(1/表格14[[#This Row],[負重0g(2)]])^2+(1/表格14[[#This Row],[負重0g(3)]])^2))</f>
        <v>59.901729878618546</v>
      </c>
      <c r="AH16" s="300">
        <f t="shared" si="4"/>
        <v>57.068816284107164</v>
      </c>
      <c r="AI16" s="309">
        <v>0.44444444444444442</v>
      </c>
      <c r="AJ16" s="68">
        <f>RANK(表格14[[#This Row],[有負重平均值]],表格14[有負重平均值])</f>
        <v>8</v>
      </c>
      <c r="AK16" s="35">
        <f>RANK(表格14[[#This Row],[全部平均值]],表格14[全部平均值])</f>
        <v>9</v>
      </c>
      <c r="AL16" s="127">
        <f>RANK(表格14[[#This Row],[有負重標準差平均]],表格14[有負重標準差平均],1)</f>
        <v>21</v>
      </c>
      <c r="AM16" s="127">
        <f>RANK(表格14[[#This Row],[全部標準差平均]],表格14[全部標準差平均],1)</f>
        <v>19</v>
      </c>
      <c r="AN16" s="50">
        <f>RANK(表格14[[#This Row],[全部負重SN ratio]],表格14[全部負重SN ratio])</f>
        <v>9</v>
      </c>
      <c r="AO16" s="50">
        <f>AVERAGE(表格14[[#This Row],[有負重平均排名]:[全部SN ratio 排名]])</f>
        <v>13.2</v>
      </c>
      <c r="AP16" s="50">
        <f>RANK(表格14[[#This Row],[綜合排名平均]],表格14[綜合排名平均],1)</f>
        <v>12</v>
      </c>
    </row>
    <row r="17" spans="1:42" x14ac:dyDescent="0.3">
      <c r="A17" s="302">
        <v>16</v>
      </c>
      <c r="B17" s="62" t="s">
        <v>74</v>
      </c>
      <c r="C17" s="62" t="s">
        <v>45</v>
      </c>
      <c r="D17" s="62" t="s">
        <v>66</v>
      </c>
      <c r="E17" s="62" t="s">
        <v>49</v>
      </c>
      <c r="F17" s="62" t="s">
        <v>76</v>
      </c>
      <c r="G17" s="62" t="s">
        <v>76</v>
      </c>
      <c r="H17" s="62" t="s">
        <v>80</v>
      </c>
      <c r="I17" s="62" t="s">
        <v>231</v>
      </c>
      <c r="J17" s="62" t="s">
        <v>169</v>
      </c>
      <c r="K17" s="62" t="s">
        <v>170</v>
      </c>
      <c r="L17" s="289">
        <v>1328</v>
      </c>
      <c r="M17" s="64">
        <v>1207</v>
      </c>
      <c r="N17" s="64">
        <v>1074</v>
      </c>
      <c r="O17" s="64">
        <v>745</v>
      </c>
      <c r="P17" s="64">
        <v>746</v>
      </c>
      <c r="Q17" s="64">
        <v>554</v>
      </c>
      <c r="R17" s="64">
        <v>562</v>
      </c>
      <c r="S17" s="64">
        <v>505</v>
      </c>
      <c r="T17" s="64">
        <v>396</v>
      </c>
      <c r="U17" s="306">
        <f t="shared" si="0"/>
        <v>1203</v>
      </c>
      <c r="V17" s="304">
        <f t="shared" si="1"/>
        <v>745.5</v>
      </c>
      <c r="W17" s="304">
        <f t="shared" si="2"/>
        <v>558</v>
      </c>
      <c r="X17" s="86">
        <f t="shared" si="3"/>
        <v>450.5</v>
      </c>
      <c r="Y17" s="86">
        <f>AVERAGE(表格14[[#This Row],[負重50g(1)]:[負重150g(2)]])</f>
        <v>584.66666666666663</v>
      </c>
      <c r="Z17" s="91">
        <f>AVERAGE(表格14[[#This Row],[負重0g(1)]:[負重150g(2)]])</f>
        <v>790.77777777777783</v>
      </c>
      <c r="AA17" s="86">
        <f>_xlfn.STDEV.S(表格14[[#This Row],[負重0g(1)]],表格14[[#This Row],[負重0g(2)]],表格14[[#This Row],[負重0g(3)]])</f>
        <v>127.04723531033645</v>
      </c>
      <c r="AB17" s="86">
        <f>_xlfn.STDEV.S(表格14[[#This Row],[負重50g(1)]],表格14[[#This Row],[負重50g(2)]])</f>
        <v>0.70710678118654757</v>
      </c>
      <c r="AC17" s="86">
        <f>_xlfn.STDEV.S(表格14[[#This Row],[負重100g(1)]],表格14[[#This Row],[負重100g(2)]])</f>
        <v>5.6568542494923806</v>
      </c>
      <c r="AD17" s="86">
        <f>_xlfn.STDEV.S(表格14[[#This Row],[負重150g(1)]],表格14[[#This Row],[負重150g(2)]])</f>
        <v>77.074639149333677</v>
      </c>
      <c r="AE17" s="86">
        <f>AVERAGE(表格14[[#This Row],[標準差50g]:[標準差150g]])</f>
        <v>27.812866726670865</v>
      </c>
      <c r="AF17" s="91">
        <f>AVERAGE(表格14[[#This Row],[標準差0g]:[標準差150g]])</f>
        <v>52.621458872587262</v>
      </c>
      <c r="AG17" s="300">
        <f>-10*LOG10(1/3*((1/表格14[[#This Row],[負重0g(1)]])^2+(1/表格14[[#This Row],[負重0g(2)]])^2+(1/表格14[[#This Row],[負重0g(3)]])^2))</f>
        <v>61.507065593537959</v>
      </c>
      <c r="AH17" s="300">
        <f t="shared" si="4"/>
        <v>56.031920977410827</v>
      </c>
      <c r="AI17" s="309">
        <v>0.33333333333333331</v>
      </c>
      <c r="AJ17" s="68">
        <f>RANK(表格14[[#This Row],[有負重平均值]],表格14[有負重平均值])</f>
        <v>17</v>
      </c>
      <c r="AK17" s="35">
        <f>RANK(表格14[[#This Row],[全部平均值]],表格14[全部平均值])</f>
        <v>11</v>
      </c>
      <c r="AL17" s="127">
        <f>RANK(表格14[[#This Row],[有負重標準差平均]],表格14[有負重標準差平均],1)</f>
        <v>18</v>
      </c>
      <c r="AM17" s="127">
        <f>RANK(表格14[[#This Row],[全部標準差平均]],表格14[全部標準差平均],1)</f>
        <v>24</v>
      </c>
      <c r="AN17" s="50">
        <f>RANK(表格14[[#This Row],[全部負重SN ratio]],表格14[全部負重SN ratio])</f>
        <v>12</v>
      </c>
      <c r="AO17" s="50">
        <f>AVERAGE(表格14[[#This Row],[有負重平均排名]:[全部SN ratio 排名]])</f>
        <v>16.399999999999999</v>
      </c>
      <c r="AP17" s="50">
        <f>RANK(表格14[[#This Row],[綜合排名平均]],表格14[綜合排名平均],1)</f>
        <v>16</v>
      </c>
    </row>
    <row r="18" spans="1:42" ht="16.8" customHeight="1" x14ac:dyDescent="0.3">
      <c r="A18" s="51">
        <v>17</v>
      </c>
      <c r="B18" s="35" t="s">
        <v>74</v>
      </c>
      <c r="C18" s="35" t="s">
        <v>45</v>
      </c>
      <c r="D18" s="35" t="s">
        <v>66</v>
      </c>
      <c r="E18" s="35" t="s">
        <v>51</v>
      </c>
      <c r="F18" s="35" t="s">
        <v>76</v>
      </c>
      <c r="G18" s="35" t="s">
        <v>76</v>
      </c>
      <c r="H18" s="35" t="s">
        <v>80</v>
      </c>
      <c r="I18" s="62" t="s">
        <v>231</v>
      </c>
      <c r="J18" s="62" t="s">
        <v>169</v>
      </c>
      <c r="K18" s="62" t="s">
        <v>170</v>
      </c>
      <c r="L18" s="303">
        <v>1127</v>
      </c>
      <c r="M18" s="297">
        <v>1298</v>
      </c>
      <c r="N18" s="297">
        <v>1016</v>
      </c>
      <c r="O18" s="297">
        <v>809</v>
      </c>
      <c r="P18" s="297">
        <v>744</v>
      </c>
      <c r="Q18" s="297">
        <v>628</v>
      </c>
      <c r="R18" s="297">
        <v>549</v>
      </c>
      <c r="S18" s="297">
        <v>514</v>
      </c>
      <c r="T18" s="297">
        <v>475</v>
      </c>
      <c r="U18" s="306">
        <f t="shared" si="0"/>
        <v>1147</v>
      </c>
      <c r="V18" s="304">
        <f t="shared" si="1"/>
        <v>776.5</v>
      </c>
      <c r="W18" s="304">
        <f t="shared" si="2"/>
        <v>588.5</v>
      </c>
      <c r="X18" s="86">
        <f t="shared" si="3"/>
        <v>494.5</v>
      </c>
      <c r="Y18" s="86">
        <f>AVERAGE(表格14[[#This Row],[負重50g(1)]:[負重150g(2)]])</f>
        <v>619.83333333333337</v>
      </c>
      <c r="Z18" s="91">
        <f>AVERAGE(表格14[[#This Row],[負重0g(1)]:[負重150g(2)]])</f>
        <v>795.55555555555554</v>
      </c>
      <c r="AA18" s="86">
        <f>_xlfn.STDEV.S(表格14[[#This Row],[負重0g(1)]],表格14[[#This Row],[負重0g(2)]],表格14[[#This Row],[負重0g(3)]])</f>
        <v>142.05984654363104</v>
      </c>
      <c r="AB18" s="86">
        <f>_xlfn.STDEV.S(表格14[[#This Row],[負重50g(1)]],表格14[[#This Row],[負重50g(2)]])</f>
        <v>45.961940777125591</v>
      </c>
      <c r="AC18" s="86">
        <f>_xlfn.STDEV.S(表格14[[#This Row],[負重100g(1)]],表格14[[#This Row],[負重100g(2)]])</f>
        <v>55.861435713737258</v>
      </c>
      <c r="AD18" s="86">
        <f>_xlfn.STDEV.S(表格14[[#This Row],[負重150g(1)]],表格14[[#This Row],[負重150g(2)]])</f>
        <v>27.577164466275352</v>
      </c>
      <c r="AE18" s="86">
        <f>AVERAGE(表格14[[#This Row],[標準差50g]:[標準差150g]])</f>
        <v>43.133513652379399</v>
      </c>
      <c r="AF18" s="91">
        <f>AVERAGE(表格14[[#This Row],[標準差0g]:[標準差150g]])</f>
        <v>67.865096875192307</v>
      </c>
      <c r="AG18" s="118">
        <f>-10*LOG10(1/3*((1/表格14[[#This Row],[負重0g(1)]])^2+(1/表格14[[#This Row],[負重0g(2)]])^2+(1/表格14[[#This Row],[負重0g(3)]])^2))</f>
        <v>61.061246611569935</v>
      </c>
      <c r="AH18" s="300">
        <f t="shared" si="4"/>
        <v>56.585709641539665</v>
      </c>
      <c r="AI18" s="309">
        <v>0.22222222222222199</v>
      </c>
      <c r="AJ18" s="68">
        <f>RANK(表格14[[#This Row],[有負重平均值]],表格14[有負重平均值])</f>
        <v>15</v>
      </c>
      <c r="AK18" s="35">
        <f>RANK(表格14[[#This Row],[全部平均值]],表格14[全部平均值])</f>
        <v>10</v>
      </c>
      <c r="AL18" s="127">
        <f>RANK(表格14[[#This Row],[有負重標準差平均]],表格14[有負重標準差平均],1)</f>
        <v>25</v>
      </c>
      <c r="AM18" s="127">
        <f>RANK(表格14[[#This Row],[全部標準差平均]],表格14[全部標準差平均],1)</f>
        <v>27</v>
      </c>
      <c r="AN18" s="50">
        <f>RANK(表格14[[#This Row],[全部負重SN ratio]],表格14[全部負重SN ratio])</f>
        <v>11</v>
      </c>
      <c r="AO18" s="50">
        <f>AVERAGE(表格14[[#This Row],[有負重平均排名]:[全部SN ratio 排名]])</f>
        <v>17.600000000000001</v>
      </c>
      <c r="AP18" s="50">
        <f>RANK(表格14[[#This Row],[綜合排名平均]],表格14[綜合排名平均],1)</f>
        <v>18</v>
      </c>
    </row>
    <row r="19" spans="1:42" ht="16.8" customHeight="1" x14ac:dyDescent="0.3">
      <c r="A19" s="302">
        <v>18</v>
      </c>
      <c r="B19" s="7" t="s">
        <v>43</v>
      </c>
      <c r="C19" s="7" t="s">
        <v>43</v>
      </c>
      <c r="D19" s="7" t="s">
        <v>43</v>
      </c>
      <c r="E19" s="35" t="s">
        <v>51</v>
      </c>
      <c r="F19" s="35" t="s">
        <v>76</v>
      </c>
      <c r="G19" s="35" t="s">
        <v>76</v>
      </c>
      <c r="H19" s="35" t="s">
        <v>80</v>
      </c>
      <c r="I19" s="62" t="s">
        <v>231</v>
      </c>
      <c r="J19" s="62" t="s">
        <v>169</v>
      </c>
      <c r="K19" s="62" t="s">
        <v>170</v>
      </c>
      <c r="L19" s="303">
        <v>1048</v>
      </c>
      <c r="M19" s="297">
        <v>1072</v>
      </c>
      <c r="N19" s="297">
        <v>1018</v>
      </c>
      <c r="O19" s="297">
        <v>808</v>
      </c>
      <c r="P19" s="297">
        <v>804</v>
      </c>
      <c r="Q19" s="297">
        <v>732</v>
      </c>
      <c r="R19" s="297">
        <v>733</v>
      </c>
      <c r="S19" s="297">
        <v>660</v>
      </c>
      <c r="T19" s="297">
        <v>682</v>
      </c>
      <c r="U19" s="306">
        <f t="shared" si="0"/>
        <v>1046</v>
      </c>
      <c r="V19" s="304">
        <f t="shared" si="1"/>
        <v>806</v>
      </c>
      <c r="W19" s="304">
        <f t="shared" si="2"/>
        <v>732.5</v>
      </c>
      <c r="X19" s="86">
        <f t="shared" si="3"/>
        <v>671</v>
      </c>
      <c r="Y19" s="86">
        <f>AVERAGE(表格14[[#This Row],[負重50g(1)]:[負重150g(2)]])</f>
        <v>736.5</v>
      </c>
      <c r="Z19" s="91">
        <f>AVERAGE(表格14[[#This Row],[負重0g(1)]:[負重150g(2)]])</f>
        <v>839.66666666666663</v>
      </c>
      <c r="AA19" s="86">
        <f>_xlfn.STDEV.S(表格14[[#This Row],[負重0g(1)]],表格14[[#This Row],[負重0g(2)]],表格14[[#This Row],[負重0g(3)]])</f>
        <v>27.055498516937366</v>
      </c>
      <c r="AB19" s="86">
        <f>_xlfn.STDEV.S(表格14[[#This Row],[負重50g(1)]],表格14[[#This Row],[負重50g(2)]])</f>
        <v>2.8284271247461903</v>
      </c>
      <c r="AC19" s="86">
        <f>_xlfn.STDEV.S(表格14[[#This Row],[負重100g(1)]],表格14[[#This Row],[負重100g(2)]])</f>
        <v>0.70710678118654757</v>
      </c>
      <c r="AD19" s="86">
        <f>_xlfn.STDEV.S(表格14[[#This Row],[負重150g(1)]],表格14[[#This Row],[負重150g(2)]])</f>
        <v>15.556349186104045</v>
      </c>
      <c r="AE19" s="86">
        <f>AVERAGE(表格14[[#This Row],[標準差50g]:[標準差150g]])</f>
        <v>6.3639610306789267</v>
      </c>
      <c r="AF19" s="91">
        <f>AVERAGE(表格14[[#This Row],[標準差0g]:[標準差150g]])</f>
        <v>11.536845402243538</v>
      </c>
      <c r="AG19" s="118">
        <f>-10*LOG10(1/3*((1/表格14[[#This Row],[負重0g(1)]])^2+(1/表格14[[#This Row],[負重0g(2)]])^2+(1/表格14[[#This Row],[負重0g(3)]])^2))</f>
        <v>60.384797840427268</v>
      </c>
      <c r="AH19" s="300">
        <f t="shared" si="4"/>
        <v>58.08193299495813</v>
      </c>
      <c r="AI19" s="309">
        <v>1</v>
      </c>
      <c r="AJ19" s="68">
        <f>RANK(表格14[[#This Row],[有負重平均值]],表格14[有負重平均值])</f>
        <v>6</v>
      </c>
      <c r="AK19" s="35">
        <f>RANK(表格14[[#This Row],[全部平均值]],表格14[全部平均值])</f>
        <v>6</v>
      </c>
      <c r="AL19" s="127">
        <f>RANK(表格14[[#This Row],[有負重標準差平均]],表格14[有負重標準差平均],1)</f>
        <v>2</v>
      </c>
      <c r="AM19" s="127">
        <f>RANK(表格14[[#This Row],[全部標準差平均]],表格14[全部標準差平均],1)</f>
        <v>3</v>
      </c>
      <c r="AN19" s="50">
        <f>RANK(表格14[[#This Row],[全部負重SN ratio]],表格14[全部負重SN ratio])</f>
        <v>4</v>
      </c>
      <c r="AO19" s="50">
        <f>AVERAGE(表格14[[#This Row],[有負重平均排名]:[全部SN ratio 排名]])</f>
        <v>4.2</v>
      </c>
      <c r="AP19" s="50">
        <f>RANK(表格14[[#This Row],[綜合排名平均]],表格14[綜合排名平均],1)</f>
        <v>2</v>
      </c>
    </row>
    <row r="20" spans="1:42" ht="16.8" customHeight="1" x14ac:dyDescent="0.3">
      <c r="A20" s="302">
        <v>19</v>
      </c>
      <c r="B20" s="7" t="s">
        <v>43</v>
      </c>
      <c r="C20" s="7" t="s">
        <v>43</v>
      </c>
      <c r="D20" s="7" t="s">
        <v>43</v>
      </c>
      <c r="E20" s="35" t="s">
        <v>51</v>
      </c>
      <c r="F20" s="62" t="s">
        <v>78</v>
      </c>
      <c r="G20" s="62" t="s">
        <v>78</v>
      </c>
      <c r="H20" s="35" t="s">
        <v>80</v>
      </c>
      <c r="I20" s="62" t="s">
        <v>231</v>
      </c>
      <c r="J20" s="62" t="s">
        <v>169</v>
      </c>
      <c r="K20" s="62" t="s">
        <v>170</v>
      </c>
      <c r="L20" s="303">
        <v>828</v>
      </c>
      <c r="M20" s="297">
        <v>854</v>
      </c>
      <c r="N20" s="297">
        <v>840</v>
      </c>
      <c r="O20" s="297">
        <v>673</v>
      </c>
      <c r="P20" s="297">
        <v>683</v>
      </c>
      <c r="Q20" s="297">
        <v>617</v>
      </c>
      <c r="R20" s="297">
        <v>650</v>
      </c>
      <c r="S20" s="297">
        <v>606</v>
      </c>
      <c r="T20" s="297">
        <v>552</v>
      </c>
      <c r="U20" s="306">
        <f t="shared" si="0"/>
        <v>840.66666666666663</v>
      </c>
      <c r="V20" s="304">
        <f t="shared" si="1"/>
        <v>678</v>
      </c>
      <c r="W20" s="304">
        <f t="shared" si="2"/>
        <v>633.5</v>
      </c>
      <c r="X20" s="86">
        <f t="shared" si="3"/>
        <v>579</v>
      </c>
      <c r="Y20" s="86">
        <f>AVERAGE(表格14[[#This Row],[負重50g(1)]:[負重150g(2)]])</f>
        <v>630.16666666666663</v>
      </c>
      <c r="Z20" s="91">
        <f>AVERAGE(表格14[[#This Row],[負重0g(1)]:[負重150g(2)]])</f>
        <v>700.33333333333337</v>
      </c>
      <c r="AA20" s="86">
        <f>_xlfn.STDEV.S(表格14[[#This Row],[負重0g(1)]],表格14[[#This Row],[負重0g(2)]],表格14[[#This Row],[負重0g(3)]])</f>
        <v>13.012814197295423</v>
      </c>
      <c r="AB20" s="86">
        <f>_xlfn.STDEV.S(表格14[[#This Row],[負重50g(1)]],表格14[[#This Row],[負重50g(2)]])</f>
        <v>7.0710678118654755</v>
      </c>
      <c r="AC20" s="86">
        <f>_xlfn.STDEV.S(表格14[[#This Row],[負重100g(1)]],表格14[[#This Row],[負重100g(2)]])</f>
        <v>23.334523779156068</v>
      </c>
      <c r="AD20" s="86">
        <f>_xlfn.STDEV.S(表格14[[#This Row],[負重150g(1)]],表格14[[#This Row],[負重150g(2)]])</f>
        <v>38.183766184073569</v>
      </c>
      <c r="AE20" s="86">
        <f>AVERAGE(表格14[[#This Row],[標準差50g]:[標準差150g]])</f>
        <v>22.863119258365035</v>
      </c>
      <c r="AF20" s="91">
        <f>AVERAGE(表格14[[#This Row],[標準差0g]:[標準差150g]])</f>
        <v>20.400542993097634</v>
      </c>
      <c r="AG20" s="118">
        <f>-10*LOG10(1/3*((1/表格14[[#This Row],[負重0g(1)]])^2+(1/表格14[[#This Row],[負重0g(2)]])^2+(1/表格14[[#This Row],[負重0g(3)]])^2))</f>
        <v>58.490398332996193</v>
      </c>
      <c r="AH20" s="300">
        <f t="shared" si="4"/>
        <v>56.620503731660662</v>
      </c>
      <c r="AI20" s="309">
        <v>1</v>
      </c>
      <c r="AJ20" s="68">
        <f>RANK(表格14[[#This Row],[有負重平均值]],表格14[有負重平均值])</f>
        <v>13</v>
      </c>
      <c r="AK20" s="35">
        <f>RANK(表格14[[#This Row],[全部平均值]],表格14[全部平均值])</f>
        <v>18</v>
      </c>
      <c r="AL20" s="127">
        <f>RANK(表格14[[#This Row],[有負重標準差平均]],表格14[有負重標準差平均],1)</f>
        <v>13</v>
      </c>
      <c r="AM20" s="127">
        <f>RANK(表格14[[#This Row],[全部標準差平均]],表格14[全部標準差平均],1)</f>
        <v>7</v>
      </c>
      <c r="AN20" s="50">
        <f>RANK(表格14[[#This Row],[全部負重SN ratio]],表格14[全部負重SN ratio])</f>
        <v>10</v>
      </c>
      <c r="AO20" s="50">
        <f>AVERAGE(表格14[[#This Row],[有負重平均排名]:[全部SN ratio 排名]])</f>
        <v>12.2</v>
      </c>
      <c r="AP20" s="50">
        <f>RANK(表格14[[#This Row],[綜合排名平均]],表格14[綜合排名平均],1)</f>
        <v>9</v>
      </c>
    </row>
    <row r="21" spans="1:42" x14ac:dyDescent="0.3">
      <c r="A21" s="51">
        <v>20</v>
      </c>
      <c r="B21" s="7" t="s">
        <v>43</v>
      </c>
      <c r="C21" s="7" t="s">
        <v>43</v>
      </c>
      <c r="D21" s="7" t="s">
        <v>43</v>
      </c>
      <c r="E21" s="35" t="s">
        <v>51</v>
      </c>
      <c r="F21" s="35" t="s">
        <v>76</v>
      </c>
      <c r="G21" s="62" t="s">
        <v>78</v>
      </c>
      <c r="H21" s="35" t="s">
        <v>80</v>
      </c>
      <c r="I21" s="62" t="s">
        <v>230</v>
      </c>
      <c r="J21" s="62" t="s">
        <v>169</v>
      </c>
      <c r="K21" s="62" t="s">
        <v>170</v>
      </c>
      <c r="L21" s="303">
        <v>1188.5</v>
      </c>
      <c r="M21" s="297">
        <v>1140</v>
      </c>
      <c r="N21" s="297">
        <v>1012</v>
      </c>
      <c r="O21" s="297">
        <v>783</v>
      </c>
      <c r="P21" s="297">
        <v>793</v>
      </c>
      <c r="Q21" s="297">
        <v>719</v>
      </c>
      <c r="R21" s="297">
        <v>716</v>
      </c>
      <c r="S21" s="297">
        <v>601</v>
      </c>
      <c r="T21" s="297">
        <v>600</v>
      </c>
      <c r="U21" s="306">
        <f t="shared" si="0"/>
        <v>1113.5</v>
      </c>
      <c r="V21" s="304">
        <f t="shared" si="1"/>
        <v>788</v>
      </c>
      <c r="W21" s="304">
        <f t="shared" si="2"/>
        <v>717.5</v>
      </c>
      <c r="X21" s="86">
        <f t="shared" si="3"/>
        <v>600.5</v>
      </c>
      <c r="Y21" s="86">
        <f>AVERAGE(表格14[[#This Row],[負重50g(1)]:[負重150g(2)]])</f>
        <v>702</v>
      </c>
      <c r="Z21" s="91">
        <f>AVERAGE(表格14[[#This Row],[負重0g(1)]:[負重150g(2)]])</f>
        <v>839.16666666666663</v>
      </c>
      <c r="AA21" s="86">
        <f>_xlfn.STDEV.S(表格14[[#This Row],[負重0g(1)]],表格14[[#This Row],[負重0g(2)]],表格14[[#This Row],[負重0g(3)]])</f>
        <v>91.185251000367373</v>
      </c>
      <c r="AB21" s="86">
        <f>_xlfn.STDEV.S(表格14[[#This Row],[負重50g(1)]],表格14[[#This Row],[負重50g(2)]])</f>
        <v>7.0710678118654755</v>
      </c>
      <c r="AC21" s="86">
        <f>_xlfn.STDEV.S(表格14[[#This Row],[負重100g(1)]],表格14[[#This Row],[負重100g(2)]])</f>
        <v>2.1213203435596424</v>
      </c>
      <c r="AD21" s="86">
        <f>_xlfn.STDEV.S(表格14[[#This Row],[負重150g(1)]],表格14[[#This Row],[負重150g(2)]])</f>
        <v>0.70710678118654757</v>
      </c>
      <c r="AE21" s="86">
        <f>AVERAGE(表格14[[#This Row],[標準差50g]:[標準差150g]])</f>
        <v>3.2998316455372216</v>
      </c>
      <c r="AF21" s="91">
        <f>AVERAGE(表格14[[#This Row],[標準差0g]:[標準差150g]])</f>
        <v>25.271186484244762</v>
      </c>
      <c r="AG21" s="118">
        <f>-10*LOG10(1/3*((1/表格14[[#This Row],[負重0g(1)]])^2+(1/表格14[[#This Row],[負重0g(2)]])^2+(1/表格14[[#This Row],[負重0g(3)]])^2))</f>
        <v>60.872748083966158</v>
      </c>
      <c r="AH21" s="300">
        <f t="shared" si="4"/>
        <v>57.750798148684986</v>
      </c>
      <c r="AI21" s="309">
        <v>1</v>
      </c>
      <c r="AJ21" s="68">
        <f>RANK(表格14[[#This Row],[有負重平均值]],表格14[有負重平均值])</f>
        <v>9</v>
      </c>
      <c r="AK21" s="35">
        <f>RANK(表格14[[#This Row],[全部平均值]],表格14[全部平均值])</f>
        <v>7</v>
      </c>
      <c r="AL21" s="127">
        <f>RANK(表格14[[#This Row],[有負重標準差平均]],表格14[有負重標準差平均],1)</f>
        <v>1</v>
      </c>
      <c r="AM21" s="127">
        <f>RANK(表格14[[#This Row],[全部標準差平均]],表格14[全部標準差平均],1)</f>
        <v>13</v>
      </c>
      <c r="AN21" s="50">
        <f>RANK(表格14[[#This Row],[全部負重SN ratio]],表格14[全部負重SN ratio])</f>
        <v>7</v>
      </c>
      <c r="AO21" s="50">
        <f>AVERAGE(表格14[[#This Row],[有負重平均排名]:[全部SN ratio 排名]])</f>
        <v>7.4</v>
      </c>
      <c r="AP21" s="50">
        <f>RANK(表格14[[#This Row],[綜合排名平均]],表格14[綜合排名平均],1)</f>
        <v>5</v>
      </c>
    </row>
    <row r="22" spans="1:42" x14ac:dyDescent="0.3">
      <c r="A22" s="302">
        <v>21</v>
      </c>
      <c r="B22" s="7" t="s">
        <v>43</v>
      </c>
      <c r="C22" s="7" t="s">
        <v>43</v>
      </c>
      <c r="D22" s="7" t="s">
        <v>43</v>
      </c>
      <c r="E22" s="35" t="s">
        <v>51</v>
      </c>
      <c r="F22" s="62" t="s">
        <v>78</v>
      </c>
      <c r="G22" s="35" t="s">
        <v>76</v>
      </c>
      <c r="H22" s="35" t="s">
        <v>80</v>
      </c>
      <c r="I22" s="62" t="s">
        <v>230</v>
      </c>
      <c r="J22" s="62" t="s">
        <v>169</v>
      </c>
      <c r="K22" s="62" t="s">
        <v>170</v>
      </c>
      <c r="L22" s="303">
        <v>1033</v>
      </c>
      <c r="M22" s="297">
        <v>991.5</v>
      </c>
      <c r="N22" s="297">
        <v>989.5</v>
      </c>
      <c r="O22" s="297">
        <v>720</v>
      </c>
      <c r="P22" s="297">
        <v>704</v>
      </c>
      <c r="Q22" s="297">
        <v>600</v>
      </c>
      <c r="R22" s="297">
        <v>671</v>
      </c>
      <c r="S22" s="297">
        <v>609</v>
      </c>
      <c r="T22" s="297">
        <v>611</v>
      </c>
      <c r="U22" s="306">
        <f t="shared" si="0"/>
        <v>1004.6666666666666</v>
      </c>
      <c r="V22" s="304">
        <f t="shared" si="1"/>
        <v>712</v>
      </c>
      <c r="W22" s="304">
        <f t="shared" si="2"/>
        <v>635.5</v>
      </c>
      <c r="X22" s="86">
        <f t="shared" si="3"/>
        <v>610</v>
      </c>
      <c r="Y22" s="86">
        <f>AVERAGE(表格14[[#This Row],[負重50g(1)]:[負重150g(2)]])</f>
        <v>652.5</v>
      </c>
      <c r="Z22" s="91">
        <f>AVERAGE(表格14[[#This Row],[負重0g(1)]:[負重150g(2)]])</f>
        <v>769.88888888888891</v>
      </c>
      <c r="AA22" s="86">
        <f>_xlfn.STDEV.S(表格14[[#This Row],[負重0g(1)]],表格14[[#This Row],[負重0g(2)]],表格14[[#This Row],[負重0g(3)]])</f>
        <v>24.55775505483621</v>
      </c>
      <c r="AB22" s="86">
        <f>_xlfn.STDEV.S(表格14[[#This Row],[負重50g(1)]],表格14[[#This Row],[負重50g(2)]])</f>
        <v>11.313708498984761</v>
      </c>
      <c r="AC22" s="86">
        <f>_xlfn.STDEV.S(表格14[[#This Row],[負重100g(1)]],表格14[[#This Row],[負重100g(2)]])</f>
        <v>50.204581464244875</v>
      </c>
      <c r="AD22" s="86">
        <f>_xlfn.STDEV.S(表格14[[#This Row],[負重150g(1)]],表格14[[#This Row],[負重150g(2)]])</f>
        <v>1.4142135623730951</v>
      </c>
      <c r="AE22" s="86">
        <f>AVERAGE(表格14[[#This Row],[標準差50g]:[標準差150g]])</f>
        <v>20.97750117520091</v>
      </c>
      <c r="AF22" s="91">
        <f>AVERAGE(表格14[[#This Row],[標準差0g]:[標準差150g]])</f>
        <v>21.872564645109737</v>
      </c>
      <c r="AG22" s="118">
        <f>-10*LOG10(1/3*((1/表格14[[#This Row],[負重0g(1)]])^2+(1/表格14[[#This Row],[負重0g(2)]])^2+(1/表格14[[#This Row],[負重0g(3)]])^2))</f>
        <v>60.035344988353359</v>
      </c>
      <c r="AH22" s="300">
        <f t="shared" si="4"/>
        <v>57.162933134788815</v>
      </c>
      <c r="AI22" s="309">
        <v>1</v>
      </c>
      <c r="AJ22" s="68">
        <f>RANK(表格14[[#This Row],[有負重平均值]],表格14[有負重平均值])</f>
        <v>10</v>
      </c>
      <c r="AK22" s="35">
        <f>RANK(表格14[[#This Row],[全部平均值]],表格14[全部平均值])</f>
        <v>13</v>
      </c>
      <c r="AL22" s="127">
        <f>RANK(表格14[[#This Row],[有負重標準差平均]],表格14[有負重標準差平均],1)</f>
        <v>11</v>
      </c>
      <c r="AM22" s="127">
        <f>RANK(表格14[[#This Row],[全部標準差平均]],表格14[全部標準差平均],1)</f>
        <v>9</v>
      </c>
      <c r="AN22" s="50">
        <f>RANK(表格14[[#This Row],[全部負重SN ratio]],表格14[全部負重SN ratio])</f>
        <v>8</v>
      </c>
      <c r="AO22" s="50">
        <f>AVERAGE(表格14[[#This Row],[有負重平均排名]:[全部SN ratio 排名]])</f>
        <v>10.199999999999999</v>
      </c>
      <c r="AP22" s="50">
        <f>RANK(表格14[[#This Row],[綜合排名平均]],表格14[綜合排名平均],1)</f>
        <v>6</v>
      </c>
    </row>
    <row r="23" spans="1:42" ht="16.8" customHeight="1" x14ac:dyDescent="0.3">
      <c r="A23" s="302">
        <v>22</v>
      </c>
      <c r="B23" s="7" t="s">
        <v>43</v>
      </c>
      <c r="C23" s="7" t="s">
        <v>43</v>
      </c>
      <c r="D23" s="7" t="s">
        <v>43</v>
      </c>
      <c r="E23" s="35" t="s">
        <v>51</v>
      </c>
      <c r="F23" s="35" t="s">
        <v>76</v>
      </c>
      <c r="G23" s="35" t="s">
        <v>76</v>
      </c>
      <c r="H23" s="35" t="s">
        <v>80</v>
      </c>
      <c r="I23" s="62" t="s">
        <v>230</v>
      </c>
      <c r="J23" s="62" t="s">
        <v>169</v>
      </c>
      <c r="K23" s="62" t="s">
        <v>170</v>
      </c>
      <c r="L23" s="303">
        <v>975</v>
      </c>
      <c r="M23" s="297">
        <v>1186</v>
      </c>
      <c r="N23" s="297">
        <v>1032</v>
      </c>
      <c r="O23" s="297">
        <v>857</v>
      </c>
      <c r="P23" s="297">
        <v>860</v>
      </c>
      <c r="Q23" s="297">
        <v>740</v>
      </c>
      <c r="R23" s="297">
        <v>764</v>
      </c>
      <c r="S23" s="297">
        <v>706</v>
      </c>
      <c r="T23" s="297">
        <v>717</v>
      </c>
      <c r="U23" s="306">
        <f t="shared" si="0"/>
        <v>1064.3333333333333</v>
      </c>
      <c r="V23" s="304">
        <f t="shared" si="1"/>
        <v>858.5</v>
      </c>
      <c r="W23" s="304">
        <f t="shared" si="2"/>
        <v>752</v>
      </c>
      <c r="X23" s="86">
        <f t="shared" si="3"/>
        <v>711.5</v>
      </c>
      <c r="Y23" s="86">
        <f>AVERAGE(表格14[[#This Row],[負重50g(1)]:[負重150g(2)]])</f>
        <v>774</v>
      </c>
      <c r="Z23" s="91">
        <f>AVERAGE(表格14[[#This Row],[負重0g(1)]:[負重150g(2)]])</f>
        <v>870.77777777777783</v>
      </c>
      <c r="AA23" s="86">
        <f>_xlfn.STDEV.S(表格14[[#This Row],[負重0g(1)]],表格14[[#This Row],[負重0g(2)]],表格14[[#This Row],[負重0g(3)]])</f>
        <v>109.15279810125497</v>
      </c>
      <c r="AB23" s="86">
        <f>_xlfn.STDEV.S(表格14[[#This Row],[負重50g(1)]],表格14[[#This Row],[負重50g(2)]])</f>
        <v>2.1213203435596424</v>
      </c>
      <c r="AC23" s="86">
        <f>_xlfn.STDEV.S(表格14[[#This Row],[負重100g(1)]],表格14[[#This Row],[負重100g(2)]])</f>
        <v>16.970562748477139</v>
      </c>
      <c r="AD23" s="86">
        <f>_xlfn.STDEV.S(表格14[[#This Row],[負重150g(1)]],表格14[[#This Row],[負重150g(2)]])</f>
        <v>7.7781745930520225</v>
      </c>
      <c r="AE23" s="86">
        <f>AVERAGE(表格14[[#This Row],[標準差50g]:[標準差150g]])</f>
        <v>8.9566858950296009</v>
      </c>
      <c r="AF23" s="91">
        <f>AVERAGE(表格14[[#This Row],[標準差0g]:[標準差150g]])</f>
        <v>34.005713946585949</v>
      </c>
      <c r="AG23" s="118">
        <f>-10*LOG10(1/3*((1/表格14[[#This Row],[負重0g(1)]])^2+(1/表格14[[#This Row],[負重0g(2)]])^2+(1/表格14[[#This Row],[負重0g(3)]])^2))</f>
        <v>60.454645725678859</v>
      </c>
      <c r="AH23" s="300">
        <f t="shared" si="4"/>
        <v>58.434406197187059</v>
      </c>
      <c r="AI23" s="309">
        <v>1</v>
      </c>
      <c r="AJ23" s="68">
        <f>RANK(表格14[[#This Row],[有負重平均值]],表格14[有負重平均值])</f>
        <v>3</v>
      </c>
      <c r="AK23" s="35">
        <f>RANK(表格14[[#This Row],[全部平均值]],表格14[全部平均值])</f>
        <v>4</v>
      </c>
      <c r="AL23" s="127">
        <f>RANK(表格14[[#This Row],[有負重標準差平均]],表格14[有負重標準差平均],1)</f>
        <v>5</v>
      </c>
      <c r="AM23" s="127">
        <f>RANK(表格14[[#This Row],[全部標準差平均]],表格14[全部標準差平均],1)</f>
        <v>18</v>
      </c>
      <c r="AN23" s="50">
        <f>RANK(表格14[[#This Row],[全部負重SN ratio]],表格14[全部負重SN ratio])</f>
        <v>2</v>
      </c>
      <c r="AO23" s="50">
        <f>AVERAGE(表格14[[#This Row],[有負重平均排名]:[全部SN ratio 排名]])</f>
        <v>6.4</v>
      </c>
      <c r="AP23" s="50">
        <f>RANK(表格14[[#This Row],[綜合排名平均]],表格14[綜合排名平均],1)</f>
        <v>3</v>
      </c>
    </row>
    <row r="24" spans="1:42" ht="16.8" customHeight="1" x14ac:dyDescent="0.3">
      <c r="A24" s="51">
        <v>23</v>
      </c>
      <c r="B24" s="7" t="s">
        <v>43</v>
      </c>
      <c r="C24" s="7" t="s">
        <v>43</v>
      </c>
      <c r="D24" s="7" t="s">
        <v>43</v>
      </c>
      <c r="E24" s="35" t="s">
        <v>51</v>
      </c>
      <c r="F24" s="35" t="s">
        <v>76</v>
      </c>
      <c r="G24" s="35" t="s">
        <v>76</v>
      </c>
      <c r="H24" s="35" t="s">
        <v>80</v>
      </c>
      <c r="I24" s="62" t="s">
        <v>230</v>
      </c>
      <c r="J24" s="62" t="s">
        <v>170</v>
      </c>
      <c r="K24" s="62" t="s">
        <v>170</v>
      </c>
      <c r="L24" s="289">
        <v>1107</v>
      </c>
      <c r="M24" s="64">
        <v>1157</v>
      </c>
      <c r="N24" s="64">
        <v>1127</v>
      </c>
      <c r="O24" s="64">
        <v>854</v>
      </c>
      <c r="P24" s="64">
        <v>811</v>
      </c>
      <c r="Q24" s="64">
        <v>765</v>
      </c>
      <c r="R24" s="64">
        <v>713</v>
      </c>
      <c r="S24" s="64">
        <v>700</v>
      </c>
      <c r="T24" s="64">
        <v>698</v>
      </c>
      <c r="U24" s="306">
        <f t="shared" si="0"/>
        <v>1130.3333333333333</v>
      </c>
      <c r="V24" s="304">
        <f t="shared" si="1"/>
        <v>832.5</v>
      </c>
      <c r="W24" s="304">
        <f t="shared" si="2"/>
        <v>739</v>
      </c>
      <c r="X24" s="86">
        <f t="shared" si="3"/>
        <v>699</v>
      </c>
      <c r="Y24" s="86">
        <f>AVERAGE(表格14[[#This Row],[負重50g(1)]:[負重150g(2)]])</f>
        <v>756.83333333333337</v>
      </c>
      <c r="Z24" s="91">
        <f>AVERAGE(表格14[[#This Row],[負重0g(1)]:[負重150g(2)]])</f>
        <v>881.33333333333337</v>
      </c>
      <c r="AA24" s="86">
        <f>_xlfn.STDEV.S(表格14[[#This Row],[負重0g(1)]],表格14[[#This Row],[負重0g(2)]],表格14[[#This Row],[負重0g(3)]])</f>
        <v>25.166114784235834</v>
      </c>
      <c r="AB24" s="86">
        <f>_xlfn.STDEV.S(表格14[[#This Row],[負重50g(1)]],表格14[[#This Row],[負重50g(2)]])</f>
        <v>30.405591591021544</v>
      </c>
      <c r="AC24" s="86">
        <f>_xlfn.STDEV.S(表格14[[#This Row],[負重100g(1)]],表格14[[#This Row],[負重100g(2)]])</f>
        <v>36.76955262170047</v>
      </c>
      <c r="AD24" s="86">
        <f>_xlfn.STDEV.S(表格14[[#This Row],[負重150g(1)]],表格14[[#This Row],[負重150g(2)]])</f>
        <v>1.4142135623730951</v>
      </c>
      <c r="AE24" s="86">
        <f>AVERAGE(表格14[[#This Row],[標準差50g]:[標準差150g]])</f>
        <v>22.863119258365035</v>
      </c>
      <c r="AF24" s="91">
        <f>AVERAGE(表格14[[#This Row],[標準差0g]:[標準差150g]])</f>
        <v>23.438868139832735</v>
      </c>
      <c r="AG24" s="142">
        <f>-10*LOG10(1/3*((1/表格14[[#This Row],[負重0g(1)]])^2+(1/表格14[[#This Row],[負重0g(2)]])^2+(1/表格14[[#This Row],[負重0g(3)]])^2))</f>
        <v>61.059848633876861</v>
      </c>
      <c r="AH24" s="300">
        <f t="shared" si="4"/>
        <v>58.399290173584824</v>
      </c>
      <c r="AI24" s="309">
        <v>1</v>
      </c>
      <c r="AJ24" s="68">
        <f>RANK(表格14[[#This Row],[有負重平均值]],表格14[有負重平均值])</f>
        <v>5</v>
      </c>
      <c r="AK24" s="35">
        <f>RANK(表格14[[#This Row],[全部平均值]],表格14[全部平均值])</f>
        <v>1</v>
      </c>
      <c r="AL24" s="127">
        <f>RANK(表格14[[#This Row],[有負重標準差平均]],表格14[有負重標準差平均],1)</f>
        <v>13</v>
      </c>
      <c r="AM24" s="127">
        <f>RANK(表格14[[#This Row],[全部標準差平均]],表格14[全部標準差平均],1)</f>
        <v>12</v>
      </c>
      <c r="AN24" s="50">
        <f>RANK(表格14[[#This Row],[全部負重SN ratio]],表格14[全部負重SN ratio])</f>
        <v>3</v>
      </c>
      <c r="AO24" s="50">
        <f>AVERAGE(表格14[[#This Row],[有負重平均排名]:[全部SN ratio 排名]])</f>
        <v>6.8</v>
      </c>
      <c r="AP24" s="50">
        <f>RANK(表格14[[#This Row],[綜合排名平均]],表格14[綜合排名平均],1)</f>
        <v>4</v>
      </c>
    </row>
    <row r="25" spans="1:42" ht="16.8" customHeight="1" x14ac:dyDescent="0.3">
      <c r="A25" s="302">
        <v>24</v>
      </c>
      <c r="B25" s="35" t="s">
        <v>74</v>
      </c>
      <c r="C25" s="35" t="s">
        <v>45</v>
      </c>
      <c r="D25" s="35" t="s">
        <v>66</v>
      </c>
      <c r="E25" s="35" t="s">
        <v>51</v>
      </c>
      <c r="F25" s="35" t="s">
        <v>76</v>
      </c>
      <c r="G25" s="35" t="s">
        <v>76</v>
      </c>
      <c r="H25" s="35" t="s">
        <v>80</v>
      </c>
      <c r="I25" s="62" t="s">
        <v>231</v>
      </c>
      <c r="J25" s="62" t="s">
        <v>170</v>
      </c>
      <c r="K25" s="62" t="s">
        <v>170</v>
      </c>
      <c r="L25" s="289">
        <v>1280</v>
      </c>
      <c r="M25" s="64">
        <v>1268</v>
      </c>
      <c r="N25" s="64">
        <v>1270</v>
      </c>
      <c r="O25" s="64">
        <v>706</v>
      </c>
      <c r="P25" s="64">
        <v>700</v>
      </c>
      <c r="Q25" s="64">
        <v>500</v>
      </c>
      <c r="R25" s="64">
        <v>505</v>
      </c>
      <c r="S25" s="64">
        <v>442</v>
      </c>
      <c r="T25" s="64">
        <v>420</v>
      </c>
      <c r="U25" s="306">
        <f t="shared" si="0"/>
        <v>1272.6666666666667</v>
      </c>
      <c r="V25" s="304">
        <f t="shared" si="1"/>
        <v>703</v>
      </c>
      <c r="W25" s="304">
        <f t="shared" si="2"/>
        <v>502.5</v>
      </c>
      <c r="X25" s="86">
        <f t="shared" si="3"/>
        <v>431</v>
      </c>
      <c r="Y25" s="86">
        <f>AVERAGE(表格14[[#This Row],[負重50g(1)]:[負重150g(2)]])</f>
        <v>545.5</v>
      </c>
      <c r="Z25" s="91">
        <f>AVERAGE(表格14[[#This Row],[負重0g(1)]:[負重150g(2)]])</f>
        <v>787.88888888888891</v>
      </c>
      <c r="AA25" s="86">
        <f>_xlfn.STDEV.S(表格14[[#This Row],[負重0g(1)]],表格14[[#This Row],[負重0g(2)]],表格14[[#This Row],[負重0g(3)]])</f>
        <v>6.429100507328636</v>
      </c>
      <c r="AB25" s="86">
        <f>_xlfn.STDEV.S(表格14[[#This Row],[負重50g(1)]],表格14[[#This Row],[負重50g(2)]])</f>
        <v>4.2426406871192848</v>
      </c>
      <c r="AC25" s="86">
        <f>_xlfn.STDEV.S(表格14[[#This Row],[負重100g(1)]],表格14[[#This Row],[負重100g(2)]])</f>
        <v>3.5355339059327378</v>
      </c>
      <c r="AD25" s="86">
        <f>_xlfn.STDEV.S(表格14[[#This Row],[負重150g(1)]],表格14[[#This Row],[負重150g(2)]])</f>
        <v>15.556349186104045</v>
      </c>
      <c r="AE25" s="86">
        <f>AVERAGE(表格14[[#This Row],[標準差50g]:[標準差150g]])</f>
        <v>7.7781745930520225</v>
      </c>
      <c r="AF25" s="91">
        <f>AVERAGE(表格14[[#This Row],[標準差0g]:[標準差150g]])</f>
        <v>7.4409060716211766</v>
      </c>
      <c r="AG25" s="142">
        <f>-10*LOG10(1/3*((1/表格14[[#This Row],[負重0g(1)]])^2+(1/表格14[[#This Row],[負重0g(2)]])^2+(1/表格14[[#This Row],[負重0g(3)]])^2))</f>
        <v>62.094072493073675</v>
      </c>
      <c r="AH25" s="300">
        <f t="shared" si="4"/>
        <v>55.631631534235936</v>
      </c>
      <c r="AI25" s="309">
        <f>3/9</f>
        <v>0.33333333333333331</v>
      </c>
      <c r="AJ25" s="68">
        <f>RANK(表格14[[#This Row],[有負重平均值]],表格14[有負重平均值])</f>
        <v>21</v>
      </c>
      <c r="AK25" s="35">
        <f>RANK(表格14[[#This Row],[全部平均值]],表格14[全部平均值])</f>
        <v>12</v>
      </c>
      <c r="AL25" s="127">
        <f>RANK(表格14[[#This Row],[有負重標準差平均]],表格14[有負重標準差平均],1)</f>
        <v>3</v>
      </c>
      <c r="AM25" s="127">
        <f>RANK(表格14[[#This Row],[全部標準差平均]],表格14[全部標準差平均],1)</f>
        <v>1</v>
      </c>
      <c r="AN25" s="50">
        <f>RANK(表格14[[#This Row],[全部負重SN ratio]],表格14[全部負重SN ratio])</f>
        <v>15</v>
      </c>
      <c r="AO25" s="50">
        <f>AVERAGE(表格14[[#This Row],[有負重平均排名]:[全部SN ratio 排名]])</f>
        <v>10.4</v>
      </c>
      <c r="AP25" s="50">
        <f>RANK(表格14[[#This Row],[綜合排名平均]],表格14[綜合排名平均],1)</f>
        <v>7</v>
      </c>
    </row>
    <row r="26" spans="1:42" x14ac:dyDescent="0.3">
      <c r="A26" s="302">
        <v>25</v>
      </c>
      <c r="B26" s="7" t="s">
        <v>43</v>
      </c>
      <c r="C26" s="7" t="s">
        <v>43</v>
      </c>
      <c r="D26" s="7" t="s">
        <v>43</v>
      </c>
      <c r="E26" s="35" t="s">
        <v>51</v>
      </c>
      <c r="F26" s="35" t="s">
        <v>76</v>
      </c>
      <c r="G26" s="35" t="s">
        <v>76</v>
      </c>
      <c r="H26" s="35" t="s">
        <v>80</v>
      </c>
      <c r="I26" s="62" t="s">
        <v>230</v>
      </c>
      <c r="J26" s="62" t="s">
        <v>170</v>
      </c>
      <c r="K26" s="62" t="s">
        <v>169</v>
      </c>
      <c r="L26" s="289">
        <v>887</v>
      </c>
      <c r="M26" s="64">
        <v>880</v>
      </c>
      <c r="N26" s="64">
        <v>987</v>
      </c>
      <c r="O26" s="64">
        <v>789</v>
      </c>
      <c r="P26" s="64">
        <v>775</v>
      </c>
      <c r="Q26" s="64">
        <v>900</v>
      </c>
      <c r="R26" s="64">
        <v>918</v>
      </c>
      <c r="S26" s="64">
        <v>875</v>
      </c>
      <c r="T26" s="64">
        <v>880</v>
      </c>
      <c r="U26" s="306">
        <f t="shared" si="0"/>
        <v>918</v>
      </c>
      <c r="V26" s="304">
        <f t="shared" si="1"/>
        <v>782</v>
      </c>
      <c r="W26" s="304">
        <f t="shared" si="2"/>
        <v>909</v>
      </c>
      <c r="X26" s="86">
        <f t="shared" si="3"/>
        <v>877.5</v>
      </c>
      <c r="Y26" s="86">
        <f>AVERAGE(表格14[[#This Row],[負重50g(1)]:[負重150g(2)]])</f>
        <v>856.16666666666663</v>
      </c>
      <c r="Z26" s="91">
        <f>AVERAGE(表格14[[#This Row],[負重0g(1)]:[負重150g(2)]])</f>
        <v>876.77777777777783</v>
      </c>
      <c r="AA26" s="86">
        <f>_xlfn.STDEV.S(表格14[[#This Row],[負重0g(1)]],表格14[[#This Row],[負重0g(2)]],表格14[[#This Row],[負重0g(3)]])</f>
        <v>59.858165691908738</v>
      </c>
      <c r="AB26" s="86">
        <f>_xlfn.STDEV.S(表格14[[#This Row],[負重50g(1)]],表格14[[#This Row],[負重50g(2)]])</f>
        <v>9.8994949366116654</v>
      </c>
      <c r="AC26" s="86">
        <f>_xlfn.STDEV.S(表格14[[#This Row],[負重100g(1)]],表格14[[#This Row],[負重100g(2)]])</f>
        <v>12.727922061357855</v>
      </c>
      <c r="AD26" s="86">
        <f>_xlfn.STDEV.S(表格14[[#This Row],[負重150g(1)]],表格14[[#This Row],[負重150g(2)]])</f>
        <v>3.5355339059327378</v>
      </c>
      <c r="AE26" s="86">
        <f>AVERAGE(表格14[[#This Row],[標準差50g]:[標準差150g]])</f>
        <v>8.7209836346340861</v>
      </c>
      <c r="AF26" s="91">
        <f>AVERAGE(表格14[[#This Row],[標準差0g]:[標準差150g]])</f>
        <v>21.505279148952749</v>
      </c>
      <c r="AG26" s="142">
        <f>-10*LOG10(1/3*((1/表格14[[#This Row],[負重0g(1)]])^2+(1/表格14[[#This Row],[負重0g(2)]])^2+(1/表格14[[#This Row],[負重0g(3)]])^2))</f>
        <v>59.221648166906817</v>
      </c>
      <c r="AH26" s="300">
        <f t="shared" si="4"/>
        <v>58.794697925072299</v>
      </c>
      <c r="AI26" s="309">
        <v>1</v>
      </c>
      <c r="AJ26" s="68">
        <f>RANK(表格14[[#This Row],[有負重平均值]],表格14[有負重平均值])</f>
        <v>1</v>
      </c>
      <c r="AK26" s="35">
        <f>RANK(表格14[[#This Row],[全部平均值]],表格14[全部平均值])</f>
        <v>3</v>
      </c>
      <c r="AL26" s="127">
        <f>RANK(表格14[[#This Row],[有負重標準差平均]],表格14[有負重標準差平均],1)</f>
        <v>4</v>
      </c>
      <c r="AM26" s="127">
        <f>RANK(表格14[[#This Row],[全部標準差平均]],表格14[全部標準差平均],1)</f>
        <v>8</v>
      </c>
      <c r="AN26" s="50">
        <f>RANK(表格14[[#This Row],[全部負重SN ratio]],表格14[全部負重SN ratio])</f>
        <v>1</v>
      </c>
      <c r="AO26" s="50">
        <f>AVERAGE(表格14[[#This Row],[有負重平均排名]:[全部SN ratio 排名]])</f>
        <v>3.4</v>
      </c>
      <c r="AP26" s="50">
        <f>RANK(表格14[[#This Row],[綜合排名平均]],表格14[綜合排名平均],1)</f>
        <v>1</v>
      </c>
    </row>
    <row r="27" spans="1:42" ht="16.8" customHeight="1" x14ac:dyDescent="0.3">
      <c r="A27" s="51">
        <v>26</v>
      </c>
      <c r="B27" s="35" t="s">
        <v>74</v>
      </c>
      <c r="C27" s="35" t="s">
        <v>45</v>
      </c>
      <c r="D27" s="35" t="s">
        <v>66</v>
      </c>
      <c r="E27" s="35" t="s">
        <v>51</v>
      </c>
      <c r="F27" s="35" t="s">
        <v>76</v>
      </c>
      <c r="G27" s="35" t="s">
        <v>76</v>
      </c>
      <c r="H27" s="35" t="s">
        <v>80</v>
      </c>
      <c r="I27" s="62" t="s">
        <v>231</v>
      </c>
      <c r="J27" s="62" t="s">
        <v>170</v>
      </c>
      <c r="K27" s="62" t="s">
        <v>169</v>
      </c>
      <c r="L27" s="289">
        <v>910</v>
      </c>
      <c r="M27" s="64">
        <v>980</v>
      </c>
      <c r="N27" s="64">
        <v>1002</v>
      </c>
      <c r="O27" s="64">
        <v>745</v>
      </c>
      <c r="P27" s="64">
        <v>830</v>
      </c>
      <c r="Q27" s="64">
        <v>740</v>
      </c>
      <c r="R27" s="64">
        <v>680</v>
      </c>
      <c r="S27" s="64">
        <v>670</v>
      </c>
      <c r="T27" s="64">
        <v>720</v>
      </c>
      <c r="U27" s="306">
        <f t="shared" si="0"/>
        <v>964</v>
      </c>
      <c r="V27" s="304">
        <f t="shared" si="1"/>
        <v>787.5</v>
      </c>
      <c r="W27" s="304">
        <f t="shared" si="2"/>
        <v>710</v>
      </c>
      <c r="X27" s="86">
        <f t="shared" si="3"/>
        <v>695</v>
      </c>
      <c r="Y27" s="86">
        <f>AVERAGE(表格14[[#This Row],[負重50g(1)]:[負重150g(2)]])</f>
        <v>730.83333333333337</v>
      </c>
      <c r="Z27" s="91">
        <f>AVERAGE(表格14[[#This Row],[負重0g(1)]:[負重150g(2)]])</f>
        <v>808.55555555555554</v>
      </c>
      <c r="AA27" s="86">
        <f>_xlfn.STDEV.S(表格14[[#This Row],[負重0g(1)]],表格14[[#This Row],[負重0g(2)]],表格14[[#This Row],[負重0g(3)]])</f>
        <v>48.041648597857254</v>
      </c>
      <c r="AB27" s="86">
        <f>_xlfn.STDEV.S(表格14[[#This Row],[負重50g(1)]],表格14[[#This Row],[負重50g(2)]])</f>
        <v>60.104076400856542</v>
      </c>
      <c r="AC27" s="86">
        <f>_xlfn.STDEV.S(表格14[[#This Row],[負重100g(1)]],表格14[[#This Row],[負重100g(2)]])</f>
        <v>42.426406871192853</v>
      </c>
      <c r="AD27" s="86">
        <f>_xlfn.STDEV.S(表格14[[#This Row],[負重150g(1)]],表格14[[#This Row],[負重150g(2)]])</f>
        <v>35.355339059327378</v>
      </c>
      <c r="AE27" s="86">
        <f>AVERAGE(表格14[[#This Row],[標準差50g]:[標準差150g]])</f>
        <v>45.961940777125591</v>
      </c>
      <c r="AF27" s="91">
        <f>AVERAGE(表格14[[#This Row],[標準差0g]:[標準差150g]])</f>
        <v>46.481867732308508</v>
      </c>
      <c r="AG27" s="142">
        <f>-10*LOG10(1/3*((1/表格14[[#This Row],[負重0g(1)]])^2+(1/表格14[[#This Row],[負重0g(2)]])^2+(1/表格14[[#This Row],[負重0g(3)]])^2))</f>
        <v>59.659295185444698</v>
      </c>
      <c r="AH27" s="300">
        <f t="shared" si="4"/>
        <v>57.885946889885993</v>
      </c>
      <c r="AI27" s="309">
        <v>0</v>
      </c>
      <c r="AJ27" s="68">
        <f>RANK(表格14[[#This Row],[有負重平均值]],表格14[有負重平均值])</f>
        <v>7</v>
      </c>
      <c r="AK27" s="35">
        <f>RANK(表格14[[#This Row],[全部平均值]],表格14[全部平均值])</f>
        <v>8</v>
      </c>
      <c r="AL27" s="127">
        <f>RANK(表格14[[#This Row],[有負重標準差平均]],表格14[有負重標準差平均],1)</f>
        <v>26</v>
      </c>
      <c r="AM27" s="127">
        <f>RANK(表格14[[#This Row],[全部標準差平均]],表格14[全部標準差平均],1)</f>
        <v>22</v>
      </c>
      <c r="AN27" s="50">
        <f>RANK(表格14[[#This Row],[全部負重SN ratio]],表格14[全部負重SN ratio])</f>
        <v>6</v>
      </c>
      <c r="AO27" s="50">
        <f>AVERAGE(表格14[[#This Row],[有負重平均排名]:[全部SN ratio 排名]])</f>
        <v>13.8</v>
      </c>
      <c r="AP27" s="50">
        <f>RANK(表格14[[#This Row],[綜合排名平均]],表格14[綜合排名平均],1)</f>
        <v>14</v>
      </c>
    </row>
    <row r="28" spans="1:42" ht="16.8" customHeight="1" x14ac:dyDescent="0.3">
      <c r="A28" s="302">
        <v>27</v>
      </c>
      <c r="B28" s="7" t="s">
        <v>43</v>
      </c>
      <c r="C28" s="7" t="s">
        <v>43</v>
      </c>
      <c r="D28" s="7" t="s">
        <v>43</v>
      </c>
      <c r="E28" s="35" t="s">
        <v>51</v>
      </c>
      <c r="F28" s="35" t="s">
        <v>76</v>
      </c>
      <c r="G28" s="35" t="s">
        <v>76</v>
      </c>
      <c r="H28" s="35" t="s">
        <v>80</v>
      </c>
      <c r="I28" s="62" t="s">
        <v>230</v>
      </c>
      <c r="J28" s="62" t="s">
        <v>169</v>
      </c>
      <c r="K28" s="62" t="s">
        <v>169</v>
      </c>
      <c r="L28" s="289">
        <v>883</v>
      </c>
      <c r="M28" s="64">
        <v>877</v>
      </c>
      <c r="N28" s="64">
        <v>887</v>
      </c>
      <c r="O28" s="64">
        <v>820</v>
      </c>
      <c r="P28" s="64">
        <v>830</v>
      </c>
      <c r="Q28" s="64">
        <v>872</v>
      </c>
      <c r="R28" s="64">
        <v>818</v>
      </c>
      <c r="S28" s="64">
        <v>875</v>
      </c>
      <c r="T28" s="64">
        <v>816</v>
      </c>
      <c r="U28" s="306">
        <f t="shared" si="0"/>
        <v>882.33333333333337</v>
      </c>
      <c r="V28" s="304">
        <f t="shared" si="1"/>
        <v>825</v>
      </c>
      <c r="W28" s="304">
        <f t="shared" si="2"/>
        <v>845</v>
      </c>
      <c r="X28" s="86">
        <f t="shared" si="3"/>
        <v>845.5</v>
      </c>
      <c r="Y28" s="86">
        <f>AVERAGE(表格14[[#This Row],[負重50g(1)]:[負重150g(2)]])</f>
        <v>838.5</v>
      </c>
      <c r="Z28" s="91">
        <f>AVERAGE(表格14[[#This Row],[負重0g(1)]:[負重150g(2)]])</f>
        <v>853.11111111111109</v>
      </c>
      <c r="AA28" s="86">
        <f>_xlfn.STDEV.S(表格14[[#This Row],[負重0g(1)]],表格14[[#This Row],[負重0g(2)]],表格14[[#This Row],[負重0g(3)]])</f>
        <v>5.0332229568471663</v>
      </c>
      <c r="AB28" s="86">
        <f>_xlfn.STDEV.S(表格14[[#This Row],[負重50g(1)]],表格14[[#This Row],[負重50g(2)]])</f>
        <v>7.0710678118654755</v>
      </c>
      <c r="AC28" s="86">
        <f>_xlfn.STDEV.S(表格14[[#This Row],[負重100g(1)]],表格14[[#This Row],[負重100g(2)]])</f>
        <v>38.183766184073569</v>
      </c>
      <c r="AD28" s="86">
        <f>_xlfn.STDEV.S(表格14[[#This Row],[負重150g(1)]],表格14[[#This Row],[負重150g(2)]])</f>
        <v>41.719300090006307</v>
      </c>
      <c r="AE28" s="86">
        <f>AVERAGE(表格14[[#This Row],[標準差50g]:[標準差150g]])</f>
        <v>28.991378028648452</v>
      </c>
      <c r="AF28" s="307">
        <f>AVERAGE(表格14[[#This Row],[標準差0g]:[標準差150g]])</f>
        <v>23.001839260698127</v>
      </c>
      <c r="AG28" s="142">
        <f>-10*LOG10(1/3*((1/表格14[[#This Row],[負重0g(1)]])^2+(1/表格14[[#This Row],[負重0g(2)]])^2+(1/表格14[[#This Row],[負重0g(3)]])^2))</f>
        <v>58.912370660894297</v>
      </c>
      <c r="AH28" s="118">
        <f>AVERAGE(AB28:AF28)</f>
        <v>27.79347027505839</v>
      </c>
      <c r="AI28" s="309">
        <v>1</v>
      </c>
      <c r="AJ28" s="68">
        <f>RANK(表格14[[#This Row],[有負重平均值]],表格14[有負重平均值])</f>
        <v>2</v>
      </c>
      <c r="AK28" s="35">
        <f>RANK(表格14[[#This Row],[全部平均值]],表格14[全部平均值])</f>
        <v>5</v>
      </c>
      <c r="AL28" s="127">
        <f>RANK(表格14[[#This Row],[有負重標準差平均]],表格14[有負重標準差平均],1)</f>
        <v>20</v>
      </c>
      <c r="AM28" s="127">
        <f>RANK(表格14[[#This Row],[全部標準差平均]],表格14[全部標準差平均],1)</f>
        <v>11</v>
      </c>
      <c r="AN28" s="50">
        <f>RANK(表格14[[#This Row],[全部負重SN ratio]],表格14[全部負重SN ratio])</f>
        <v>28</v>
      </c>
      <c r="AO28" s="50">
        <f>AVERAGE(表格14[[#This Row],[有負重平均排名]:[全部SN ratio 排名]])</f>
        <v>13.2</v>
      </c>
      <c r="AP28" s="50">
        <f>RANK(表格14[[#This Row],[綜合排名平均]],表格14[綜合排名平均],1)</f>
        <v>12</v>
      </c>
    </row>
    <row r="29" spans="1:42" ht="16.8" customHeight="1" thickBot="1" x14ac:dyDescent="0.35">
      <c r="A29" s="53">
        <v>28</v>
      </c>
      <c r="B29" s="35" t="s">
        <v>74</v>
      </c>
      <c r="C29" s="35" t="s">
        <v>45</v>
      </c>
      <c r="D29" s="35" t="s">
        <v>66</v>
      </c>
      <c r="E29" s="35" t="s">
        <v>51</v>
      </c>
      <c r="F29" s="35" t="s">
        <v>76</v>
      </c>
      <c r="G29" s="35" t="s">
        <v>76</v>
      </c>
      <c r="H29" s="35" t="s">
        <v>80</v>
      </c>
      <c r="I29" s="62" t="s">
        <v>231</v>
      </c>
      <c r="J29" s="62" t="s">
        <v>169</v>
      </c>
      <c r="K29" s="62" t="s">
        <v>169</v>
      </c>
      <c r="L29" s="280">
        <v>1000</v>
      </c>
      <c r="M29" s="276">
        <v>948</v>
      </c>
      <c r="N29" s="276">
        <v>980</v>
      </c>
      <c r="O29" s="276">
        <v>892</v>
      </c>
      <c r="P29" s="276">
        <v>920</v>
      </c>
      <c r="Q29" s="276">
        <v>572</v>
      </c>
      <c r="R29" s="276">
        <v>505</v>
      </c>
      <c r="S29" s="276">
        <v>440</v>
      </c>
      <c r="T29" s="276">
        <v>487</v>
      </c>
      <c r="U29" s="308">
        <f t="shared" si="0"/>
        <v>976</v>
      </c>
      <c r="V29" s="305">
        <f t="shared" si="1"/>
        <v>906</v>
      </c>
      <c r="W29" s="305">
        <f t="shared" si="2"/>
        <v>538.5</v>
      </c>
      <c r="X29" s="277">
        <f t="shared" si="3"/>
        <v>463.5</v>
      </c>
      <c r="Y29" s="277">
        <f>AVERAGE(表格14[[#This Row],[負重50g(1)]:[負重150g(2)]])</f>
        <v>636</v>
      </c>
      <c r="Z29" s="282">
        <f>AVERAGE(表格14[[#This Row],[負重0g(1)]:[負重150g(2)]])</f>
        <v>749.33333333333337</v>
      </c>
      <c r="AA29" s="277">
        <f>_xlfn.STDEV.S(表格14[[#This Row],[負重0g(1)]],表格14[[#This Row],[負重0g(2)]],表格14[[#This Row],[負重0g(3)]])</f>
        <v>26.229754097208001</v>
      </c>
      <c r="AB29" s="277">
        <f>_xlfn.STDEV.S(表格14[[#This Row],[負重50g(1)]],表格14[[#This Row],[負重50g(2)]])</f>
        <v>19.798989873223331</v>
      </c>
      <c r="AC29" s="277">
        <f>_xlfn.STDEV.S(表格14[[#This Row],[負重100g(1)]],表格14[[#This Row],[負重100g(2)]])</f>
        <v>47.376154339498683</v>
      </c>
      <c r="AD29" s="277">
        <f>_xlfn.STDEV.S(表格14[[#This Row],[負重150g(1)]],表格14[[#This Row],[負重150g(2)]])</f>
        <v>33.234018715767732</v>
      </c>
      <c r="AE29" s="277">
        <f>AVERAGE(表格14[[#This Row],[標準差50g]:[標準差150g]])</f>
        <v>33.469720976163252</v>
      </c>
      <c r="AF29" s="312">
        <f>AVERAGE(表格14[[#This Row],[標準差0g]:[標準差150g]])</f>
        <v>31.659729256424438</v>
      </c>
      <c r="AG29" s="142">
        <f>-10*LOG10(1/3*((1/表格14[[#This Row],[負重0g(1)]])^2+(1/表格14[[#This Row],[負重0g(2)]])^2+(1/表格14[[#This Row],[負重0g(3)]])^2))</f>
        <v>59.78266968611662</v>
      </c>
      <c r="AH29" s="118">
        <f>AVERAGE(AB29:AF29)</f>
        <v>33.107722632215491</v>
      </c>
      <c r="AI29" s="310">
        <v>0</v>
      </c>
      <c r="AJ29" s="66">
        <f>RANK(表格14[[#This Row],[有負重平均值]],表格14[有負重平均值])</f>
        <v>12</v>
      </c>
      <c r="AK29" s="48">
        <f>RANK(表格14[[#This Row],[全部平均值]],表格14[全部平均值])</f>
        <v>16</v>
      </c>
      <c r="AL29" s="311">
        <f>RANK(表格14[[#This Row],[有負重標準差平均]],表格14[有負重標準差平均],1)</f>
        <v>23</v>
      </c>
      <c r="AM29" s="311">
        <f>RANK(表格14[[#This Row],[全部標準差平均]],表格14[全部標準差平均],1)</f>
        <v>17</v>
      </c>
      <c r="AN29" s="49">
        <f>RANK(表格14[[#This Row],[全部負重SN ratio]],表格14[全部負重SN ratio])</f>
        <v>27</v>
      </c>
      <c r="AO29" s="49">
        <f>AVERAGE(表格14[[#This Row],[有負重平均排名]:[全部SN ratio 排名]])</f>
        <v>19</v>
      </c>
      <c r="AP29" s="49">
        <f>RANK(表格14[[#This Row],[綜合排名平均]],表格14[綜合排名平均],1)</f>
        <v>20</v>
      </c>
    </row>
    <row r="30" spans="1:42" ht="16.8" customHeight="1" x14ac:dyDescent="0.3"/>
    <row r="31" spans="1:42" ht="16.8" customHeight="1" x14ac:dyDescent="0.3">
      <c r="A31" t="s">
        <v>250</v>
      </c>
    </row>
    <row r="32" spans="1:42" ht="16.8" customHeight="1" x14ac:dyDescent="0.3"/>
    <row r="34" ht="16.8" customHeight="1" x14ac:dyDescent="0.3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EF9A-A6FE-498C-885C-0CB0AA00218D}">
  <dimension ref="A1:AU92"/>
  <sheetViews>
    <sheetView topLeftCell="A25" zoomScale="85" zoomScaleNormal="85" workbookViewId="0">
      <selection activeCell="K67" sqref="K67"/>
    </sheetView>
  </sheetViews>
  <sheetFormatPr defaultRowHeight="16.2" x14ac:dyDescent="0.3"/>
  <cols>
    <col min="1" max="1" width="12.77734375" style="42" customWidth="1"/>
    <col min="2" max="8" width="12.77734375" style="35" customWidth="1"/>
    <col min="9" max="30" width="12.77734375" style="42" customWidth="1"/>
    <col min="31" max="33" width="10.77734375" style="42" customWidth="1"/>
    <col min="34" max="36" width="8.88671875" style="42" customWidth="1"/>
    <col min="37" max="16384" width="8.88671875" style="42"/>
  </cols>
  <sheetData>
    <row r="1" spans="1:30" ht="16.8" hidden="1" customHeight="1" thickBot="1" x14ac:dyDescent="0.35">
      <c r="A1" s="35" t="s">
        <v>44</v>
      </c>
      <c r="B1" s="342" t="str">
        <f>'original data'!B40</f>
        <v>變因</v>
      </c>
      <c r="C1" s="343"/>
      <c r="D1" s="343"/>
      <c r="E1" s="343"/>
      <c r="F1" s="343"/>
      <c r="G1" s="343"/>
      <c r="H1" s="344"/>
      <c r="I1" s="348" t="str">
        <f>'original data'!Q40</f>
        <v>測試結果(車子跑動距離)(紅字表示彈簧繩未完全收起)</v>
      </c>
      <c r="J1" s="349"/>
      <c r="K1" s="349"/>
      <c r="L1" s="349"/>
      <c r="M1" s="349"/>
      <c r="N1" s="349"/>
      <c r="O1" s="349"/>
      <c r="P1" s="350"/>
      <c r="S1" s="42" t="s">
        <v>106</v>
      </c>
      <c r="T1" s="35"/>
      <c r="U1" s="35"/>
      <c r="V1" s="35"/>
      <c r="W1" s="35"/>
      <c r="X1" s="35"/>
      <c r="Y1" s="35"/>
      <c r="Z1" s="35"/>
    </row>
    <row r="2" spans="1:30" ht="33" hidden="1" thickBot="1" x14ac:dyDescent="0.35">
      <c r="A2" s="342" t="str">
        <f>'original data'!A41</f>
        <v>測試組合</v>
      </c>
      <c r="B2" s="44" t="str">
        <f>'original data'!B42</f>
        <v>傳動比</v>
      </c>
      <c r="C2" s="45" t="str">
        <f>'original data'!C42</f>
        <v>齒輪單雙側傳動給輪子</v>
      </c>
      <c r="D2" s="45" t="str">
        <f>'original data'!E42</f>
        <v>齒輪數量</v>
      </c>
      <c r="E2" s="45" t="str">
        <f>'original data'!I42</f>
        <v>輪子數</v>
      </c>
      <c r="F2" s="45" t="str">
        <f>'original data'!K42</f>
        <v>前輪直徑</v>
      </c>
      <c r="G2" s="45" t="str">
        <f>'original data'!M42</f>
        <v>後輪直徑</v>
      </c>
      <c r="H2" s="46" t="str">
        <f>'original data'!P42</f>
        <v>輪子厚度</v>
      </c>
      <c r="I2" s="333" t="str">
        <f>'original data'!Q42</f>
        <v>負重0g</v>
      </c>
      <c r="J2" s="333"/>
      <c r="K2" s="333" t="str">
        <f>'original data'!S42</f>
        <v>負重50g</v>
      </c>
      <c r="L2" s="333"/>
      <c r="M2" s="333" t="str">
        <f>'original data'!U42</f>
        <v>負重100g</v>
      </c>
      <c r="N2" s="333"/>
      <c r="O2" s="333" t="str">
        <f>'original data'!W42</f>
        <v>負重150g</v>
      </c>
      <c r="P2" s="338"/>
      <c r="S2" s="43" t="str">
        <f>'original data'!A74</f>
        <v>無齒輪</v>
      </c>
      <c r="T2" s="348" t="str">
        <f>'original data'!B74</f>
        <v>變動因子</v>
      </c>
      <c r="U2" s="349"/>
      <c r="V2" s="350"/>
      <c r="W2" s="348" t="str">
        <f>'original data'!E74</f>
        <v>測試結果</v>
      </c>
      <c r="X2" s="349"/>
      <c r="Y2" s="349"/>
      <c r="Z2" s="349"/>
      <c r="AA2" s="349"/>
      <c r="AB2" s="349"/>
      <c r="AC2" s="349"/>
      <c r="AD2" s="350"/>
    </row>
    <row r="3" spans="1:30" ht="16.8" hidden="1" thickBot="1" x14ac:dyDescent="0.35">
      <c r="A3" s="354"/>
      <c r="B3" s="47">
        <f>'original data'!B41</f>
        <v>1</v>
      </c>
      <c r="C3" s="48">
        <f>'original data'!C41</f>
        <v>2</v>
      </c>
      <c r="D3" s="48">
        <f>'original data'!E41</f>
        <v>4</v>
      </c>
      <c r="E3" s="48">
        <f>'original data'!I41</f>
        <v>8</v>
      </c>
      <c r="F3" s="48">
        <f>'original data'!K41</f>
        <v>10</v>
      </c>
      <c r="G3" s="48">
        <f>'original data'!M41</f>
        <v>12</v>
      </c>
      <c r="H3" s="49">
        <f>'original data'!P41</f>
        <v>15</v>
      </c>
      <c r="I3" s="35" t="str">
        <f>'original data'!Q41</f>
        <v>Y1</v>
      </c>
      <c r="J3" s="35" t="str">
        <f>'original data'!R41</f>
        <v>Y2</v>
      </c>
      <c r="K3" s="35" t="str">
        <f>'original data'!S41</f>
        <v>Y3</v>
      </c>
      <c r="L3" s="35" t="str">
        <f>'original data'!T41</f>
        <v>Y4</v>
      </c>
      <c r="M3" s="35" t="str">
        <f>'original data'!U41</f>
        <v>Y5</v>
      </c>
      <c r="N3" s="35" t="str">
        <f>'original data'!V41</f>
        <v>Y6</v>
      </c>
      <c r="O3" s="35" t="str">
        <f>'original data'!W41</f>
        <v>Y7</v>
      </c>
      <c r="P3" s="50" t="str">
        <f>'original data'!X41</f>
        <v>Y8</v>
      </c>
      <c r="S3" s="355" t="str">
        <f>'original data'!A75</f>
        <v>測試組合</v>
      </c>
      <c r="T3" s="36" t="str">
        <f>'original data'!B76</f>
        <v>動力驅動位置</v>
      </c>
      <c r="U3" s="37" t="str">
        <f>'original data'!C76</f>
        <v>驅動輪半徑大小</v>
      </c>
      <c r="V3" s="38" t="str">
        <f>'original data'!D76</f>
        <v>非驅動輪半徑</v>
      </c>
      <c r="W3" s="342" t="str">
        <f>'original data'!E76</f>
        <v>負重0g</v>
      </c>
      <c r="X3" s="343"/>
      <c r="Y3" s="343" t="str">
        <f>'original data'!H76</f>
        <v>負重50g</v>
      </c>
      <c r="Z3" s="343"/>
      <c r="AA3" s="343" t="str">
        <f>'original data'!J76</f>
        <v>負重100g</v>
      </c>
      <c r="AB3" s="343"/>
      <c r="AC3" s="343" t="str">
        <f>'original data'!L76</f>
        <v>負重150g</v>
      </c>
      <c r="AD3" s="344"/>
    </row>
    <row r="4" spans="1:30" ht="16.8" hidden="1" thickBot="1" x14ac:dyDescent="0.35">
      <c r="A4" s="43">
        <f>'original data'!A43</f>
        <v>1</v>
      </c>
      <c r="B4" s="47" t="str">
        <f>'original data'!B43</f>
        <v>1:1</v>
      </c>
      <c r="C4" s="48" t="str">
        <f>'original data'!C43</f>
        <v>雙</v>
      </c>
      <c r="D4" s="48" t="str">
        <f>'original data'!E43</f>
        <v>3個(前驅)</v>
      </c>
      <c r="E4" s="48" t="str">
        <f>'original data'!I43</f>
        <v>4輪</v>
      </c>
      <c r="F4" s="48" t="str">
        <f>'original data'!K43</f>
        <v>大(45mm)</v>
      </c>
      <c r="G4" s="48" t="str">
        <f>'original data'!M43</f>
        <v>大(45mm)</v>
      </c>
      <c r="H4" s="48" t="str">
        <f>'original data'!P43</f>
        <v>單(3.5mm)</v>
      </c>
      <c r="I4" s="39">
        <f>'original data'!Q43</f>
        <v>732</v>
      </c>
      <c r="J4" s="40">
        <f>'original data'!R43</f>
        <v>716</v>
      </c>
      <c r="K4" s="55">
        <f>'original data'!S43</f>
        <v>557</v>
      </c>
      <c r="L4" s="55">
        <f>'original data'!T43</f>
        <v>596</v>
      </c>
      <c r="M4" s="55">
        <f>'original data'!U43</f>
        <v>562.20000000000005</v>
      </c>
      <c r="N4" s="55">
        <f>'original data'!V43</f>
        <v>500</v>
      </c>
      <c r="O4" s="55">
        <f>'original data'!W43</f>
        <v>526.5</v>
      </c>
      <c r="P4" s="56">
        <f>'original data'!X43</f>
        <v>490</v>
      </c>
      <c r="S4" s="356"/>
      <c r="T4" s="47">
        <f>'original data'!B75</f>
        <v>1</v>
      </c>
      <c r="U4" s="48">
        <f>'original data'!C75</f>
        <v>2</v>
      </c>
      <c r="V4" s="49">
        <f>'original data'!D75</f>
        <v>3</v>
      </c>
      <c r="W4" s="47" t="str">
        <f>'original data'!E75</f>
        <v>Y1</v>
      </c>
      <c r="X4" s="48" t="str">
        <f>'original data'!F75</f>
        <v>Y2</v>
      </c>
      <c r="Y4" s="48" t="str">
        <f>'original data'!G75</f>
        <v>Y3</v>
      </c>
      <c r="Z4" s="48" t="str">
        <f>'original data'!H75</f>
        <v>Y4</v>
      </c>
      <c r="AA4" s="48" t="str">
        <f>'original data'!I75</f>
        <v>Y5</v>
      </c>
      <c r="AB4" s="48" t="str">
        <f>'original data'!J75</f>
        <v>Y6</v>
      </c>
      <c r="AC4" s="48" t="str">
        <f>'original data'!K75</f>
        <v>Y7</v>
      </c>
      <c r="AD4" s="49" t="str">
        <f>'original data'!L75</f>
        <v>Y8</v>
      </c>
    </row>
    <row r="5" spans="1:30" ht="16.8" hidden="1" thickBot="1" x14ac:dyDescent="0.35">
      <c r="A5" s="51">
        <f>'original data'!A44</f>
        <v>2</v>
      </c>
      <c r="B5" s="52" t="str">
        <f>'original data'!B44</f>
        <v>1:1</v>
      </c>
      <c r="C5" s="35" t="str">
        <f>'original data'!C44</f>
        <v>雙</v>
      </c>
      <c r="D5" s="35" t="str">
        <f>'original data'!E44</f>
        <v>3個(前驅)</v>
      </c>
      <c r="E5" s="35" t="str">
        <f>'original data'!I44</f>
        <v>3輪</v>
      </c>
      <c r="F5" s="35" t="str">
        <f>'original data'!K44</f>
        <v>小(35mm)</v>
      </c>
      <c r="G5" s="35" t="str">
        <f>'original data'!M44</f>
        <v>小(35mm)</v>
      </c>
      <c r="H5" s="50" t="str">
        <f>'original data'!P44</f>
        <v>雙(7mm)</v>
      </c>
      <c r="I5" s="52">
        <f>'original data'!Q44</f>
        <v>499</v>
      </c>
      <c r="J5" s="35">
        <f>'original data'!R44</f>
        <v>536.5</v>
      </c>
      <c r="K5" s="54">
        <f>'original data'!S44</f>
        <v>540</v>
      </c>
      <c r="L5" s="54">
        <f>'original data'!T44</f>
        <v>499</v>
      </c>
      <c r="M5" s="54">
        <f>'original data'!U44</f>
        <v>481.5</v>
      </c>
      <c r="N5" s="54">
        <f>'original data'!V44</f>
        <v>489</v>
      </c>
      <c r="O5" s="54">
        <f>'original data'!W44</f>
        <v>343</v>
      </c>
      <c r="P5" s="57">
        <f>'original data'!X44</f>
        <v>417</v>
      </c>
      <c r="S5" s="43">
        <f>'original data'!A77</f>
        <v>1</v>
      </c>
      <c r="T5" s="39" t="str">
        <f>'original data'!B77</f>
        <v>後輪</v>
      </c>
      <c r="U5" s="40" t="str">
        <f>'original data'!C77</f>
        <v>大</v>
      </c>
      <c r="V5" s="41" t="str">
        <f>'original data'!D77</f>
        <v>大</v>
      </c>
      <c r="W5" s="40">
        <f>'original data'!E77</f>
        <v>1048</v>
      </c>
      <c r="X5" s="40">
        <f>'original data'!F77</f>
        <v>1072</v>
      </c>
      <c r="Y5" s="40">
        <f>'original data'!G77</f>
        <v>1018</v>
      </c>
      <c r="Z5" s="40">
        <f>'original data'!H77</f>
        <v>808</v>
      </c>
      <c r="AA5" s="40">
        <f>'original data'!I77</f>
        <v>804</v>
      </c>
      <c r="AB5" s="40">
        <f>'original data'!J77</f>
        <v>732</v>
      </c>
      <c r="AC5" s="40">
        <f>'original data'!K77</f>
        <v>733</v>
      </c>
      <c r="AD5" s="41">
        <f>'original data'!L77</f>
        <v>660</v>
      </c>
    </row>
    <row r="6" spans="1:30" ht="16.8" hidden="1" thickBot="1" x14ac:dyDescent="0.35">
      <c r="A6" s="43">
        <f>'original data'!A45</f>
        <v>3</v>
      </c>
      <c r="B6" s="39" t="str">
        <f>'original data'!B45</f>
        <v>1:1</v>
      </c>
      <c r="C6" s="40" t="str">
        <f>'original data'!C45</f>
        <v>雙</v>
      </c>
      <c r="D6" s="40" t="str">
        <f>'original data'!E45</f>
        <v>2個(後驅)</v>
      </c>
      <c r="E6" s="40" t="str">
        <f>'original data'!I45</f>
        <v>4輪</v>
      </c>
      <c r="F6" s="40" t="str">
        <f>'original data'!K45</f>
        <v>大(45mm)</v>
      </c>
      <c r="G6" s="40" t="str">
        <f>'original data'!M45</f>
        <v>小(35mm)</v>
      </c>
      <c r="H6" s="41" t="str">
        <f>'original data'!P45</f>
        <v>雙(7mm)</v>
      </c>
      <c r="I6" s="36">
        <f>'original data'!Q45</f>
        <v>562</v>
      </c>
      <c r="J6" s="37">
        <f>'original data'!R45</f>
        <v>563.5</v>
      </c>
      <c r="K6" s="37">
        <f>'original data'!S45</f>
        <v>458</v>
      </c>
      <c r="L6" s="37">
        <f>'original data'!T45</f>
        <v>458.5</v>
      </c>
      <c r="M6" s="37">
        <f>'original data'!U45</f>
        <v>531</v>
      </c>
      <c r="N6" s="37">
        <f>'original data'!V45</f>
        <v>484</v>
      </c>
      <c r="O6" s="37">
        <f>'original data'!W45</f>
        <v>495</v>
      </c>
      <c r="P6" s="134">
        <f>'original data'!X45</f>
        <v>430</v>
      </c>
      <c r="S6" s="51">
        <f>'original data'!A78</f>
        <v>2</v>
      </c>
      <c r="T6" s="52" t="str">
        <f>'original data'!B78</f>
        <v>後輪</v>
      </c>
      <c r="U6" s="35" t="str">
        <f>'original data'!C78</f>
        <v>小</v>
      </c>
      <c r="V6" s="50" t="str">
        <f>'original data'!D78</f>
        <v>小</v>
      </c>
      <c r="W6" s="35">
        <f>'original data'!E78</f>
        <v>828</v>
      </c>
      <c r="X6" s="35">
        <f>'original data'!F78</f>
        <v>854</v>
      </c>
      <c r="Y6" s="35">
        <f>'original data'!G78</f>
        <v>840</v>
      </c>
      <c r="Z6" s="35">
        <f>'original data'!H78</f>
        <v>673</v>
      </c>
      <c r="AA6" s="35">
        <f>'original data'!I78</f>
        <v>683</v>
      </c>
      <c r="AB6" s="35">
        <f>'original data'!J78</f>
        <v>617</v>
      </c>
      <c r="AC6" s="35">
        <f>'original data'!K78</f>
        <v>650</v>
      </c>
      <c r="AD6" s="50">
        <f>'original data'!L78</f>
        <v>606</v>
      </c>
    </row>
    <row r="7" spans="1:30" ht="16.8" hidden="1" thickBot="1" x14ac:dyDescent="0.35">
      <c r="A7" s="51">
        <f>'original data'!A46</f>
        <v>4</v>
      </c>
      <c r="B7" s="52" t="str">
        <f>'original data'!B46</f>
        <v>1:1</v>
      </c>
      <c r="C7" s="35" t="str">
        <f>'original data'!C46</f>
        <v>雙</v>
      </c>
      <c r="D7" s="35" t="str">
        <f>'original data'!E46</f>
        <v>2個(後驅)</v>
      </c>
      <c r="E7" s="35" t="str">
        <f>'original data'!I46</f>
        <v>3輪</v>
      </c>
      <c r="F7" s="35" t="str">
        <f>'original data'!K46</f>
        <v>小(35mm)</v>
      </c>
      <c r="G7" s="35" t="str">
        <f>'original data'!M46</f>
        <v>大(45mm)</v>
      </c>
      <c r="H7" s="50" t="str">
        <f>'original data'!P46</f>
        <v>單(3.5mm)</v>
      </c>
      <c r="I7" s="39">
        <f>'original data'!Q46</f>
        <v>756</v>
      </c>
      <c r="J7" s="40">
        <f>'original data'!R46</f>
        <v>668</v>
      </c>
      <c r="K7" s="55">
        <f>'original data'!S46</f>
        <v>565</v>
      </c>
      <c r="L7" s="55">
        <f>'original data'!T46</f>
        <v>572</v>
      </c>
      <c r="M7" s="55">
        <f>'original data'!U46</f>
        <v>508</v>
      </c>
      <c r="N7" s="55">
        <f>'original data'!V46</f>
        <v>503.5</v>
      </c>
      <c r="O7" s="55">
        <f>'original data'!W46</f>
        <v>489</v>
      </c>
      <c r="P7" s="56">
        <f>'original data'!X46</f>
        <v>387</v>
      </c>
      <c r="S7" s="43">
        <f>'original data'!A79</f>
        <v>3</v>
      </c>
      <c r="T7" s="39" t="str">
        <f>'original data'!B79</f>
        <v>前輪</v>
      </c>
      <c r="U7" s="40" t="str">
        <f>'original data'!C79</f>
        <v>大</v>
      </c>
      <c r="V7" s="41" t="str">
        <f>'original data'!D79</f>
        <v>小</v>
      </c>
      <c r="W7" s="40">
        <f>'original data'!E79</f>
        <v>1188.5</v>
      </c>
      <c r="X7" s="40">
        <f>'original data'!F79</f>
        <v>1140</v>
      </c>
      <c r="Y7" s="40">
        <f>'original data'!G79</f>
        <v>1012</v>
      </c>
      <c r="Z7" s="40">
        <f>'original data'!H79</f>
        <v>783</v>
      </c>
      <c r="AA7" s="40">
        <f>'original data'!I79</f>
        <v>793</v>
      </c>
      <c r="AB7" s="40">
        <f>'original data'!J79</f>
        <v>719</v>
      </c>
      <c r="AC7" s="40">
        <f>'original data'!K79</f>
        <v>716</v>
      </c>
      <c r="AD7" s="41">
        <f>'original data'!L79</f>
        <v>601</v>
      </c>
    </row>
    <row r="8" spans="1:30" ht="16.8" hidden="1" thickBot="1" x14ac:dyDescent="0.35">
      <c r="A8" s="43">
        <f>'original data'!A47</f>
        <v>5</v>
      </c>
      <c r="B8" s="39" t="str">
        <f>'original data'!B47</f>
        <v>1:1</v>
      </c>
      <c r="C8" s="40" t="str">
        <f>'original data'!C47</f>
        <v>單</v>
      </c>
      <c r="D8" s="40" t="str">
        <f>'original data'!E47</f>
        <v>3個(前驅)</v>
      </c>
      <c r="E8" s="40" t="str">
        <f>'original data'!I47</f>
        <v>4輪</v>
      </c>
      <c r="F8" s="40" t="str">
        <f>'original data'!K47</f>
        <v>小(35mm)</v>
      </c>
      <c r="G8" s="40" t="str">
        <f>'original data'!M47</f>
        <v>大(45mm)</v>
      </c>
      <c r="H8" s="41" t="str">
        <f>'original data'!P47</f>
        <v>雙(7mm)</v>
      </c>
      <c r="I8" s="47">
        <f>'original data'!Q47</f>
        <v>627</v>
      </c>
      <c r="J8" s="48">
        <f>'original data'!R47</f>
        <v>586</v>
      </c>
      <c r="K8" s="48">
        <f>'original data'!S47</f>
        <v>487</v>
      </c>
      <c r="L8" s="48">
        <f>'original data'!T47</f>
        <v>531</v>
      </c>
      <c r="M8" s="48">
        <f>'original data'!U47</f>
        <v>463</v>
      </c>
      <c r="N8" s="58">
        <f>'original data'!V47</f>
        <v>431</v>
      </c>
      <c r="O8" s="58">
        <f>'original data'!W47</f>
        <v>382</v>
      </c>
      <c r="P8" s="59">
        <f>'original data'!X47</f>
        <v>391</v>
      </c>
      <c r="S8" s="53">
        <f>'original data'!A80</f>
        <v>4</v>
      </c>
      <c r="T8" s="47" t="str">
        <f>'original data'!B80</f>
        <v>前輪</v>
      </c>
      <c r="U8" s="48" t="str">
        <f>'original data'!C80</f>
        <v>小</v>
      </c>
      <c r="V8" s="49" t="str">
        <f>'original data'!D80</f>
        <v>大</v>
      </c>
      <c r="W8" s="48">
        <f>'original data'!E80</f>
        <v>1033</v>
      </c>
      <c r="X8" s="48">
        <f>'original data'!F80</f>
        <v>991.5</v>
      </c>
      <c r="Y8" s="48">
        <f>'original data'!G80</f>
        <v>989.5</v>
      </c>
      <c r="Z8" s="48">
        <f>'original data'!H80</f>
        <v>720</v>
      </c>
      <c r="AA8" s="48">
        <f>'original data'!I80</f>
        <v>704</v>
      </c>
      <c r="AB8" s="48">
        <f>'original data'!J80</f>
        <v>600</v>
      </c>
      <c r="AC8" s="48">
        <f>'original data'!K80</f>
        <v>671</v>
      </c>
      <c r="AD8" s="49">
        <f>'original data'!L80</f>
        <v>609</v>
      </c>
    </row>
    <row r="9" spans="1:30" ht="16.8" hidden="1" thickBot="1" x14ac:dyDescent="0.35">
      <c r="A9" s="51">
        <f>'original data'!A48</f>
        <v>6</v>
      </c>
      <c r="B9" s="52" t="str">
        <f>'original data'!B48</f>
        <v>1:1</v>
      </c>
      <c r="C9" s="35" t="str">
        <f>'original data'!C48</f>
        <v>單</v>
      </c>
      <c r="D9" s="35" t="str">
        <f>'original data'!E48</f>
        <v>3個(前驅)</v>
      </c>
      <c r="E9" s="35" t="str">
        <f>'original data'!I48</f>
        <v>3輪</v>
      </c>
      <c r="F9" s="35" t="str">
        <f>'original data'!K48</f>
        <v>大(45mm)</v>
      </c>
      <c r="G9" s="35" t="str">
        <f>'original data'!M48</f>
        <v>小(35mm)</v>
      </c>
      <c r="H9" s="50" t="str">
        <f>'original data'!P48</f>
        <v>單(3.5mm)</v>
      </c>
      <c r="I9" s="52">
        <f>'original data'!Q48</f>
        <v>756</v>
      </c>
      <c r="J9" s="35">
        <f>'original data'!T47</f>
        <v>531</v>
      </c>
      <c r="K9" s="35">
        <f>'original data'!S48</f>
        <v>625</v>
      </c>
      <c r="L9" s="35">
        <f>'original data'!T48</f>
        <v>723</v>
      </c>
      <c r="M9" s="35">
        <f>'original data'!U48</f>
        <v>570.5</v>
      </c>
      <c r="N9" s="54">
        <f>'original data'!V48</f>
        <v>583</v>
      </c>
      <c r="O9" s="54">
        <f>'original data'!W48</f>
        <v>505</v>
      </c>
      <c r="P9" s="57">
        <f>'original data'!X48</f>
        <v>503</v>
      </c>
    </row>
    <row r="10" spans="1:30" ht="16.8" hidden="1" thickBot="1" x14ac:dyDescent="0.35">
      <c r="A10" s="43">
        <f>'original data'!A49</f>
        <v>7</v>
      </c>
      <c r="B10" s="39" t="str">
        <f>'original data'!B49</f>
        <v>1:1</v>
      </c>
      <c r="C10" s="40" t="str">
        <f>'original data'!C49</f>
        <v>單</v>
      </c>
      <c r="D10" s="40" t="str">
        <f>'original data'!E49</f>
        <v>2個(後驅)</v>
      </c>
      <c r="E10" s="40" t="str">
        <f>'original data'!I49</f>
        <v>4輪</v>
      </c>
      <c r="F10" s="40" t="str">
        <f>'original data'!K49</f>
        <v>小(35mm)</v>
      </c>
      <c r="G10" s="40" t="str">
        <f>'original data'!M49</f>
        <v>小(35mm)</v>
      </c>
      <c r="H10" s="41" t="str">
        <f>'original data'!P49</f>
        <v>單(3.5mm)</v>
      </c>
      <c r="I10" s="39">
        <f>'original data'!Q49</f>
        <v>591</v>
      </c>
      <c r="J10" s="40">
        <f>'original data'!R49</f>
        <v>599.5</v>
      </c>
      <c r="K10" s="40">
        <f>'original data'!S49</f>
        <v>529</v>
      </c>
      <c r="L10" s="40">
        <f>'original data'!T49</f>
        <v>495</v>
      </c>
      <c r="M10" s="40">
        <f>'original data'!U49</f>
        <v>523</v>
      </c>
      <c r="N10" s="55">
        <f>'original data'!V49</f>
        <v>501</v>
      </c>
      <c r="O10" s="55">
        <f>'original data'!W49</f>
        <v>456.5</v>
      </c>
      <c r="P10" s="56">
        <f>'original data'!X49</f>
        <v>491</v>
      </c>
    </row>
    <row r="11" spans="1:30" ht="16.8" hidden="1" thickBot="1" x14ac:dyDescent="0.35">
      <c r="A11" s="51">
        <f>'original data'!A50</f>
        <v>8</v>
      </c>
      <c r="B11" s="52" t="str">
        <f>'original data'!B50</f>
        <v>1:1</v>
      </c>
      <c r="C11" s="35" t="str">
        <f>'original data'!C50</f>
        <v>單</v>
      </c>
      <c r="D11" s="35" t="str">
        <f>'original data'!E50</f>
        <v>2個(後驅)</v>
      </c>
      <c r="E11" s="35" t="str">
        <f>'original data'!I50</f>
        <v>3輪</v>
      </c>
      <c r="F11" s="35" t="str">
        <f>'original data'!K50</f>
        <v>大(45mm)</v>
      </c>
      <c r="G11" s="35" t="str">
        <f>'original data'!M50</f>
        <v>大(45mm)</v>
      </c>
      <c r="H11" s="50" t="str">
        <f>'original data'!P50</f>
        <v>雙(7mm)</v>
      </c>
      <c r="I11" s="52">
        <f>'original data'!Q50</f>
        <v>762</v>
      </c>
      <c r="J11" s="35">
        <f>'original data'!R50</f>
        <v>772</v>
      </c>
      <c r="K11" s="35">
        <f>'original data'!S50</f>
        <v>634</v>
      </c>
      <c r="L11" s="35">
        <f>'original data'!T50</f>
        <v>632</v>
      </c>
      <c r="M11" s="54">
        <f>'original data'!U50</f>
        <v>577</v>
      </c>
      <c r="N11" s="54">
        <f>'original data'!V50</f>
        <v>577.5</v>
      </c>
      <c r="O11" s="54">
        <f>'original data'!W50</f>
        <v>511.5</v>
      </c>
      <c r="P11" s="57">
        <f>'original data'!X50</f>
        <v>552.5</v>
      </c>
    </row>
    <row r="12" spans="1:30" ht="16.8" hidden="1" thickBot="1" x14ac:dyDescent="0.35">
      <c r="A12" s="43">
        <f>'original data'!A51</f>
        <v>9</v>
      </c>
      <c r="B12" s="39" t="str">
        <f>'original data'!B51</f>
        <v>1:2</v>
      </c>
      <c r="C12" s="40" t="str">
        <f>'original data'!C51</f>
        <v>雙</v>
      </c>
      <c r="D12" s="40" t="str">
        <f>'original data'!E51</f>
        <v>3個(前驅)</v>
      </c>
      <c r="E12" s="40" t="str">
        <f>'original data'!I51</f>
        <v>4輪</v>
      </c>
      <c r="F12" s="40" t="str">
        <f>'original data'!K51</f>
        <v>大(45mm)</v>
      </c>
      <c r="G12" s="40" t="str">
        <f>'original data'!M51</f>
        <v>大(45mm)</v>
      </c>
      <c r="H12" s="41" t="str">
        <f>'original data'!P51</f>
        <v>雙(7mm)</v>
      </c>
      <c r="I12" s="60">
        <f>'original data'!Q51</f>
        <v>773</v>
      </c>
      <c r="J12" s="55">
        <f>'original data'!R51</f>
        <v>834</v>
      </c>
      <c r="K12" s="55">
        <f>'original data'!S51</f>
        <v>675</v>
      </c>
      <c r="L12" s="55">
        <f>'original data'!T51</f>
        <v>641</v>
      </c>
      <c r="M12" s="55">
        <f>'original data'!U51</f>
        <v>611</v>
      </c>
      <c r="N12" s="55">
        <f>'original data'!V51</f>
        <v>520</v>
      </c>
      <c r="O12" s="55">
        <f>'original data'!W51</f>
        <v>514</v>
      </c>
      <c r="P12" s="56">
        <f>'original data'!X51</f>
        <v>486</v>
      </c>
    </row>
    <row r="13" spans="1:30" ht="16.8" hidden="1" thickBot="1" x14ac:dyDescent="0.35">
      <c r="A13" s="51">
        <f>'original data'!A52</f>
        <v>10</v>
      </c>
      <c r="B13" s="52" t="str">
        <f>'original data'!B52</f>
        <v>1:2</v>
      </c>
      <c r="C13" s="35" t="str">
        <f>'original data'!C52</f>
        <v>雙</v>
      </c>
      <c r="D13" s="35" t="str">
        <f>'original data'!E52</f>
        <v>3個(前驅)</v>
      </c>
      <c r="E13" s="35" t="str">
        <f>'original data'!I52</f>
        <v>3輪</v>
      </c>
      <c r="F13" s="35" t="str">
        <f>'original data'!K52</f>
        <v>小(35mm)</v>
      </c>
      <c r="G13" s="35" t="str">
        <f>'original data'!M52</f>
        <v>小(35mm)</v>
      </c>
      <c r="H13" s="50" t="str">
        <f>'original data'!P52</f>
        <v>單(3.5mm)</v>
      </c>
      <c r="I13" s="52">
        <f>'original data'!Q52</f>
        <v>1088</v>
      </c>
      <c r="J13" s="35">
        <f>'original data'!R52</f>
        <v>983</v>
      </c>
      <c r="K13" s="35">
        <f>'original data'!S52</f>
        <v>967</v>
      </c>
      <c r="L13" s="35">
        <f>'original data'!T52</f>
        <v>943.5</v>
      </c>
      <c r="M13" s="54">
        <f>'original data'!U52</f>
        <v>578</v>
      </c>
      <c r="N13" s="54">
        <f>'original data'!V52</f>
        <v>572</v>
      </c>
      <c r="O13" s="54">
        <f>'original data'!W52</f>
        <v>328</v>
      </c>
      <c r="P13" s="57">
        <f>'original data'!X52</f>
        <v>348.5</v>
      </c>
    </row>
    <row r="14" spans="1:30" ht="16.8" hidden="1" thickBot="1" x14ac:dyDescent="0.35">
      <c r="A14" s="43">
        <f>'original data'!A53</f>
        <v>11</v>
      </c>
      <c r="B14" s="39" t="str">
        <f>'original data'!B53</f>
        <v>1:2</v>
      </c>
      <c r="C14" s="40" t="str">
        <f>'original data'!C53</f>
        <v>雙</v>
      </c>
      <c r="D14" s="40" t="str">
        <f>'original data'!E53</f>
        <v>2個(後驅)</v>
      </c>
      <c r="E14" s="40" t="str">
        <f>'original data'!I53</f>
        <v>4輪</v>
      </c>
      <c r="F14" s="40" t="str">
        <f>'original data'!K53</f>
        <v>大(45mm)</v>
      </c>
      <c r="G14" s="40" t="str">
        <f>'original data'!M53</f>
        <v>小(35mm)</v>
      </c>
      <c r="H14" s="41" t="str">
        <f>'original data'!P53</f>
        <v>單(3.5mm)</v>
      </c>
      <c r="I14" s="39">
        <f>'original data'!Q53</f>
        <v>1006</v>
      </c>
      <c r="J14" s="40">
        <f>'original data'!R53</f>
        <v>1124</v>
      </c>
      <c r="K14" s="40">
        <f>'original data'!S53</f>
        <v>1005</v>
      </c>
      <c r="L14" s="40">
        <f>'original data'!T53</f>
        <v>991</v>
      </c>
      <c r="M14" s="55">
        <f>'original data'!U53</f>
        <v>810</v>
      </c>
      <c r="N14" s="55">
        <f>'original data'!V53</f>
        <v>623</v>
      </c>
      <c r="O14" s="55">
        <f>'original data'!W53</f>
        <v>596.5</v>
      </c>
      <c r="P14" s="56">
        <f>'original data'!X53</f>
        <v>618</v>
      </c>
    </row>
    <row r="15" spans="1:30" ht="16.8" hidden="1" thickBot="1" x14ac:dyDescent="0.35">
      <c r="A15" s="51">
        <f>'original data'!A54</f>
        <v>12</v>
      </c>
      <c r="B15" s="52" t="str">
        <f>'original data'!B54</f>
        <v>1:2</v>
      </c>
      <c r="C15" s="35" t="str">
        <f>'original data'!C54</f>
        <v>雙</v>
      </c>
      <c r="D15" s="35" t="str">
        <f>'original data'!E54</f>
        <v>2個(後驅)</v>
      </c>
      <c r="E15" s="35" t="str">
        <f>'original data'!I54</f>
        <v>3輪</v>
      </c>
      <c r="F15" s="35" t="str">
        <f>'original data'!K54</f>
        <v>小(35mm)</v>
      </c>
      <c r="G15" s="35" t="str">
        <f>'original data'!M54</f>
        <v>大(45mm)</v>
      </c>
      <c r="H15" s="50" t="str">
        <f>'original data'!P54</f>
        <v>雙(7mm)</v>
      </c>
      <c r="I15" s="52">
        <f>'original data'!Q54</f>
        <v>1337</v>
      </c>
      <c r="J15" s="35">
        <f>'original data'!R54</f>
        <v>1295</v>
      </c>
      <c r="K15" s="54">
        <f>'original data'!S54</f>
        <v>497</v>
      </c>
      <c r="L15" s="54">
        <f>'original data'!T54</f>
        <v>528</v>
      </c>
      <c r="M15" s="54">
        <f>'original data'!U54</f>
        <v>475</v>
      </c>
      <c r="N15" s="54">
        <f>'original data'!V54</f>
        <v>467</v>
      </c>
      <c r="O15" s="54">
        <f>'original data'!W54</f>
        <v>454</v>
      </c>
      <c r="P15" s="57">
        <f>'original data'!X54</f>
        <v>469</v>
      </c>
    </row>
    <row r="16" spans="1:30" ht="16.8" hidden="1" thickBot="1" x14ac:dyDescent="0.35">
      <c r="A16" s="43">
        <f>'original data'!A55</f>
        <v>13</v>
      </c>
      <c r="B16" s="39" t="str">
        <f>'original data'!B55</f>
        <v>1:2</v>
      </c>
      <c r="C16" s="40" t="str">
        <f>'original data'!C55</f>
        <v>單</v>
      </c>
      <c r="D16" s="40" t="str">
        <f>'original data'!E55</f>
        <v>3個(前驅)</v>
      </c>
      <c r="E16" s="40" t="str">
        <f>'original data'!I55</f>
        <v>4輪</v>
      </c>
      <c r="F16" s="40" t="str">
        <f>'original data'!K55</f>
        <v>小(35mm)</v>
      </c>
      <c r="G16" s="40" t="str">
        <f>'original data'!M55</f>
        <v>大(45mm)</v>
      </c>
      <c r="H16" s="41" t="str">
        <f>'original data'!P55</f>
        <v>單(3.5mm)</v>
      </c>
      <c r="I16" s="60">
        <f>'original data'!Q55</f>
        <v>763</v>
      </c>
      <c r="J16" s="55">
        <f>'original data'!R55</f>
        <v>817</v>
      </c>
      <c r="K16" s="55">
        <f>'original data'!S55</f>
        <v>594.5</v>
      </c>
      <c r="L16" s="55">
        <f>'original data'!T55</f>
        <v>622</v>
      </c>
      <c r="M16" s="55">
        <f>'original data'!U55</f>
        <v>549</v>
      </c>
      <c r="N16" s="55">
        <f>'original data'!V55</f>
        <v>553</v>
      </c>
      <c r="O16" s="55">
        <f>'original data'!W55</f>
        <v>480</v>
      </c>
      <c r="P16" s="56">
        <f>'original data'!X55</f>
        <v>520</v>
      </c>
    </row>
    <row r="17" spans="1:47" ht="16.8" hidden="1" thickBot="1" x14ac:dyDescent="0.35">
      <c r="A17" s="51">
        <f>'original data'!A56</f>
        <v>14</v>
      </c>
      <c r="B17" s="52" t="str">
        <f>'original data'!B56</f>
        <v>1:2</v>
      </c>
      <c r="C17" s="35" t="str">
        <f>'original data'!C56</f>
        <v>單</v>
      </c>
      <c r="D17" s="35" t="str">
        <f>'original data'!E56</f>
        <v>3個(前驅)</v>
      </c>
      <c r="E17" s="35" t="str">
        <f>'original data'!I56</f>
        <v>3輪</v>
      </c>
      <c r="F17" s="35" t="str">
        <f>'original data'!K56</f>
        <v>大(45mm)</v>
      </c>
      <c r="G17" s="35" t="str">
        <f>'original data'!M56</f>
        <v>小(35mm)</v>
      </c>
      <c r="H17" s="50" t="str">
        <f>'original data'!P56</f>
        <v>雙(7mm)</v>
      </c>
      <c r="I17" s="61">
        <f>'original data'!Q56</f>
        <v>825</v>
      </c>
      <c r="J17" s="54">
        <f>'original data'!R56</f>
        <v>908</v>
      </c>
      <c r="K17" s="35">
        <f>'original data'!S56</f>
        <v>1088</v>
      </c>
      <c r="L17" s="35">
        <f>'original data'!T56</f>
        <v>1086</v>
      </c>
      <c r="M17" s="54">
        <f>'original data'!U56</f>
        <v>614</v>
      </c>
      <c r="N17" s="54">
        <f>'original data'!V56</f>
        <v>369</v>
      </c>
      <c r="O17" s="54">
        <f>'original data'!W56</f>
        <v>325</v>
      </c>
      <c r="P17" s="57">
        <f>'original data'!X56</f>
        <v>340</v>
      </c>
    </row>
    <row r="18" spans="1:47" ht="16.8" hidden="1" thickBot="1" x14ac:dyDescent="0.35">
      <c r="A18" s="43">
        <f>'original data'!A57</f>
        <v>15</v>
      </c>
      <c r="B18" s="39" t="str">
        <f>'original data'!B57</f>
        <v>1:2</v>
      </c>
      <c r="C18" s="40" t="str">
        <f>'original data'!C57</f>
        <v>單</v>
      </c>
      <c r="D18" s="40" t="str">
        <f>'original data'!E57</f>
        <v>2個(後驅)</v>
      </c>
      <c r="E18" s="40" t="str">
        <f>'original data'!I57</f>
        <v>4輪</v>
      </c>
      <c r="F18" s="40" t="str">
        <f>'original data'!K57</f>
        <v>小(35mm)</v>
      </c>
      <c r="G18" s="40" t="str">
        <f>'original data'!M57</f>
        <v>小(35mm)</v>
      </c>
      <c r="H18" s="41" t="str">
        <f>'original data'!P57</f>
        <v>雙(7mm)</v>
      </c>
      <c r="I18" s="39">
        <f>'original data'!Q57</f>
        <v>945</v>
      </c>
      <c r="J18" s="40">
        <f>'original data'!R57</f>
        <v>1046</v>
      </c>
      <c r="K18" s="40">
        <f>'original data'!S57</f>
        <v>975</v>
      </c>
      <c r="L18" s="40">
        <f>'original data'!T57</f>
        <v>1004</v>
      </c>
      <c r="M18" s="55">
        <f>'original data'!U57</f>
        <v>635</v>
      </c>
      <c r="N18" s="55">
        <f>'original data'!V57</f>
        <v>603.5</v>
      </c>
      <c r="O18" s="55">
        <f>'original data'!W57</f>
        <v>491</v>
      </c>
      <c r="P18" s="56">
        <f>'original data'!X57</f>
        <v>560</v>
      </c>
    </row>
    <row r="19" spans="1:47" ht="16.8" hidden="1" thickBot="1" x14ac:dyDescent="0.35">
      <c r="A19" s="53">
        <f>'original data'!A58</f>
        <v>16</v>
      </c>
      <c r="B19" s="47" t="str">
        <f>'original data'!B58</f>
        <v>1:2</v>
      </c>
      <c r="C19" s="48" t="str">
        <f>'original data'!C58</f>
        <v>單</v>
      </c>
      <c r="D19" s="48" t="str">
        <f>'original data'!E58</f>
        <v>2個(後驅)</v>
      </c>
      <c r="E19" s="48" t="str">
        <f>'original data'!I58</f>
        <v>3輪</v>
      </c>
      <c r="F19" s="48" t="str">
        <f>'original data'!K58</f>
        <v>大(45mm)</v>
      </c>
      <c r="G19" s="48" t="str">
        <f>'original data'!M58</f>
        <v>大(45mm)</v>
      </c>
      <c r="H19" s="49" t="str">
        <f>'original data'!P58</f>
        <v>單(3.5mm)</v>
      </c>
      <c r="I19" s="47">
        <f>'original data'!Q58</f>
        <v>1328</v>
      </c>
      <c r="J19" s="48">
        <f>'original data'!R58</f>
        <v>1207</v>
      </c>
      <c r="K19" s="58">
        <f>'original data'!S58</f>
        <v>745</v>
      </c>
      <c r="L19" s="58">
        <f>'original data'!T58</f>
        <v>746</v>
      </c>
      <c r="M19" s="58">
        <f>'original data'!U58</f>
        <v>554</v>
      </c>
      <c r="N19" s="58">
        <f>'original data'!V58</f>
        <v>562</v>
      </c>
      <c r="O19" s="58">
        <f>'original data'!W58</f>
        <v>505</v>
      </c>
      <c r="P19" s="59">
        <f>'original data'!X58</f>
        <v>396</v>
      </c>
    </row>
    <row r="20" spans="1:47" ht="16.8" hidden="1" thickBot="1" x14ac:dyDescent="0.35">
      <c r="A20" s="53" t="str">
        <f>'original data'!A59</f>
        <v>最佳組合</v>
      </c>
      <c r="B20" s="47" t="str">
        <f>'original data'!B59</f>
        <v>1:2</v>
      </c>
      <c r="C20" s="48" t="str">
        <f>'original data'!C59</f>
        <v>單</v>
      </c>
      <c r="D20" s="48" t="str">
        <f>'original data'!E59</f>
        <v>2個(後驅)</v>
      </c>
      <c r="E20" s="48" t="str">
        <f>'original data'!I59</f>
        <v>4輪</v>
      </c>
      <c r="F20" s="48" t="str">
        <f>'original data'!K59</f>
        <v>大(45mm)</v>
      </c>
      <c r="G20" s="48" t="str">
        <f>'original data'!M59</f>
        <v>大(45mm)</v>
      </c>
      <c r="H20" s="49" t="str">
        <f>'original data'!P59</f>
        <v>單(3.5mm)</v>
      </c>
      <c r="I20" s="47">
        <f>'original data'!Q59</f>
        <v>1127</v>
      </c>
      <c r="J20" s="48">
        <f>'original data'!R59</f>
        <v>1298</v>
      </c>
      <c r="K20" s="58">
        <f>'original data'!S59</f>
        <v>809</v>
      </c>
      <c r="L20" s="58">
        <f>'original data'!T59</f>
        <v>744</v>
      </c>
      <c r="M20" s="58">
        <f>'original data'!U59</f>
        <v>628</v>
      </c>
      <c r="N20" s="58">
        <f>'original data'!V59</f>
        <v>549</v>
      </c>
      <c r="O20" s="58">
        <f>'original data'!W59</f>
        <v>514</v>
      </c>
      <c r="P20" s="59">
        <f>'original data'!X59</f>
        <v>475</v>
      </c>
    </row>
    <row r="21" spans="1:47" hidden="1" x14ac:dyDescent="0.3"/>
    <row r="22" spans="1:47" hidden="1" x14ac:dyDescent="0.3"/>
    <row r="23" spans="1:47" ht="25.2" thickBot="1" x14ac:dyDescent="0.35">
      <c r="A23" s="159" t="s">
        <v>205</v>
      </c>
    </row>
    <row r="24" spans="1:47" ht="65.400000000000006" customHeight="1" thickBot="1" x14ac:dyDescent="0.35">
      <c r="A24" s="44" t="s">
        <v>44</v>
      </c>
      <c r="B24" s="351" t="s">
        <v>53</v>
      </c>
      <c r="C24" s="352"/>
      <c r="D24" s="352"/>
      <c r="E24" s="352"/>
      <c r="F24" s="352"/>
      <c r="G24" s="352"/>
      <c r="H24" s="353"/>
      <c r="I24" s="331" t="s">
        <v>105</v>
      </c>
      <c r="J24" s="333"/>
      <c r="K24" s="333"/>
      <c r="L24" s="333"/>
      <c r="M24" s="333"/>
      <c r="N24" s="333"/>
      <c r="O24" s="333"/>
      <c r="P24" s="333"/>
      <c r="Q24" s="338"/>
      <c r="R24" s="351" t="s">
        <v>123</v>
      </c>
      <c r="S24" s="352"/>
      <c r="T24" s="352"/>
      <c r="U24" s="352"/>
      <c r="V24" s="353"/>
      <c r="W24" s="348" t="s">
        <v>124</v>
      </c>
      <c r="X24" s="349"/>
      <c r="Y24" s="349"/>
      <c r="Z24" s="349"/>
      <c r="AA24" s="349"/>
      <c r="AB24" s="331" t="s">
        <v>142</v>
      </c>
      <c r="AC24" s="338"/>
      <c r="AD24" s="44" t="s">
        <v>117</v>
      </c>
      <c r="AE24" s="342" t="s">
        <v>122</v>
      </c>
      <c r="AF24" s="343"/>
      <c r="AG24" s="343"/>
      <c r="AH24" s="343"/>
      <c r="AI24" s="343"/>
      <c r="AJ24" s="344"/>
      <c r="AK24" s="101" t="s">
        <v>136</v>
      </c>
    </row>
    <row r="25" spans="1:47" ht="48.6" customHeight="1" x14ac:dyDescent="0.3">
      <c r="A25" s="331" t="s">
        <v>54</v>
      </c>
      <c r="B25" s="44" t="s">
        <v>71</v>
      </c>
      <c r="C25" s="45" t="s">
        <v>103</v>
      </c>
      <c r="D25" s="45" t="s">
        <v>62</v>
      </c>
      <c r="E25" s="45" t="s">
        <v>72</v>
      </c>
      <c r="F25" s="45" t="s">
        <v>280</v>
      </c>
      <c r="G25" s="45" t="s">
        <v>281</v>
      </c>
      <c r="H25" s="46" t="s">
        <v>47</v>
      </c>
      <c r="I25" s="331" t="s">
        <v>30</v>
      </c>
      <c r="J25" s="333"/>
      <c r="K25" s="333"/>
      <c r="L25" s="333" t="s">
        <v>32</v>
      </c>
      <c r="M25" s="333"/>
      <c r="N25" s="333" t="s">
        <v>60</v>
      </c>
      <c r="O25" s="333"/>
      <c r="P25" s="333" t="s">
        <v>35</v>
      </c>
      <c r="Q25" s="333"/>
      <c r="R25" s="331" t="s">
        <v>30</v>
      </c>
      <c r="S25" s="333" t="s">
        <v>32</v>
      </c>
      <c r="T25" s="333" t="s">
        <v>60</v>
      </c>
      <c r="U25" s="333" t="s">
        <v>36</v>
      </c>
      <c r="V25" s="338" t="s">
        <v>135</v>
      </c>
      <c r="W25" s="331" t="s">
        <v>30</v>
      </c>
      <c r="X25" s="333" t="s">
        <v>32</v>
      </c>
      <c r="Y25" s="333" t="s">
        <v>60</v>
      </c>
      <c r="Z25" s="333" t="s">
        <v>36</v>
      </c>
      <c r="AA25" s="333" t="s">
        <v>209</v>
      </c>
      <c r="AB25" s="342" t="s">
        <v>31</v>
      </c>
      <c r="AC25" s="338" t="s">
        <v>125</v>
      </c>
      <c r="AD25" s="333" t="s">
        <v>96</v>
      </c>
      <c r="AE25" s="331" t="s">
        <v>126</v>
      </c>
      <c r="AF25" s="333" t="s">
        <v>135</v>
      </c>
      <c r="AG25" s="333" t="s">
        <v>127</v>
      </c>
      <c r="AH25" s="333" t="s">
        <v>209</v>
      </c>
      <c r="AI25" s="343" t="s">
        <v>97</v>
      </c>
      <c r="AJ25" s="338" t="s">
        <v>107</v>
      </c>
      <c r="AK25" s="355"/>
    </row>
    <row r="26" spans="1:47" ht="16.8" thickBot="1" x14ac:dyDescent="0.35">
      <c r="A26" s="332"/>
      <c r="B26" s="66">
        <v>1</v>
      </c>
      <c r="C26" s="65">
        <v>2</v>
      </c>
      <c r="D26" s="65">
        <v>4</v>
      </c>
      <c r="E26" s="65">
        <v>8</v>
      </c>
      <c r="F26" s="65">
        <v>10</v>
      </c>
      <c r="G26" s="65">
        <v>12</v>
      </c>
      <c r="H26" s="67">
        <v>15</v>
      </c>
      <c r="I26" s="66" t="s">
        <v>55</v>
      </c>
      <c r="J26" s="65" t="s">
        <v>56</v>
      </c>
      <c r="K26" s="65" t="s">
        <v>24</v>
      </c>
      <c r="L26" s="65" t="s">
        <v>25</v>
      </c>
      <c r="M26" s="65" t="s">
        <v>26</v>
      </c>
      <c r="N26" s="65" t="s">
        <v>57</v>
      </c>
      <c r="O26" s="65" t="s">
        <v>58</v>
      </c>
      <c r="P26" s="65" t="s">
        <v>59</v>
      </c>
      <c r="Q26" s="65" t="s">
        <v>89</v>
      </c>
      <c r="R26" s="332"/>
      <c r="S26" s="334"/>
      <c r="T26" s="334"/>
      <c r="U26" s="334"/>
      <c r="V26" s="339"/>
      <c r="W26" s="332"/>
      <c r="X26" s="334"/>
      <c r="Y26" s="334"/>
      <c r="Z26" s="334"/>
      <c r="AA26" s="334"/>
      <c r="AB26" s="354"/>
      <c r="AC26" s="339"/>
      <c r="AD26" s="334"/>
      <c r="AE26" s="332"/>
      <c r="AF26" s="334"/>
      <c r="AG26" s="334"/>
      <c r="AH26" s="334"/>
      <c r="AI26" s="362"/>
      <c r="AJ26" s="339"/>
      <c r="AK26" s="357"/>
    </row>
    <row r="27" spans="1:47" x14ac:dyDescent="0.3">
      <c r="A27" s="68">
        <v>1</v>
      </c>
      <c r="B27" s="68" t="s">
        <v>61</v>
      </c>
      <c r="C27" s="62" t="s">
        <v>46</v>
      </c>
      <c r="D27" s="62" t="s">
        <v>65</v>
      </c>
      <c r="E27" s="62" t="s">
        <v>51</v>
      </c>
      <c r="F27" s="62" t="s">
        <v>76</v>
      </c>
      <c r="G27" s="62" t="s">
        <v>76</v>
      </c>
      <c r="H27" s="69" t="s">
        <v>80</v>
      </c>
      <c r="I27" s="68">
        <v>732</v>
      </c>
      <c r="J27" s="62">
        <v>716</v>
      </c>
      <c r="K27" s="62">
        <v>632</v>
      </c>
      <c r="L27" s="63">
        <v>557</v>
      </c>
      <c r="M27" s="63">
        <v>596</v>
      </c>
      <c r="N27" s="63">
        <v>562.20000000000005</v>
      </c>
      <c r="O27" s="63">
        <v>500</v>
      </c>
      <c r="P27" s="63">
        <v>526.5</v>
      </c>
      <c r="Q27" s="63">
        <v>490</v>
      </c>
      <c r="R27" s="82">
        <f t="shared" ref="R27:R42" si="0">AVERAGE(I27,J27,K27)</f>
        <v>693.33333333333337</v>
      </c>
      <c r="S27" s="83">
        <f t="shared" ref="S27:S42" si="1">AVERAGE(L27,M27)</f>
        <v>576.5</v>
      </c>
      <c r="T27" s="83">
        <f t="shared" ref="T27:T42" si="2">AVERAGE(N27,O27)</f>
        <v>531.1</v>
      </c>
      <c r="U27" s="83">
        <f t="shared" ref="U27:U42" si="3">AVERAGE(P27,Q27)</f>
        <v>508.25</v>
      </c>
      <c r="V27" s="84">
        <f t="shared" ref="V27:V42" si="4">AVERAGE(I27:Q27)</f>
        <v>590.18888888888887</v>
      </c>
      <c r="W27" s="85">
        <f>_xlfn.STDEV.S(I27,J27,K27)</f>
        <v>53.715298875956492</v>
      </c>
      <c r="X27" s="86">
        <f>_xlfn.STDEV.S(L27,M27)</f>
        <v>27.577164466275352</v>
      </c>
      <c r="Y27" s="86">
        <f>_xlfn.STDEV.S(N27,O27)</f>
        <v>43.98204178980329</v>
      </c>
      <c r="Z27" s="86">
        <f>_xlfn.STDEV.S(P27,Q27)</f>
        <v>25.809397513308983</v>
      </c>
      <c r="AA27" s="86">
        <f>AVERAGE(W27:Z27)</f>
        <v>37.770975661336031</v>
      </c>
      <c r="AB27" s="222">
        <f>-10*LOG10(1/3*((1/$I27)^2+(1/$J27)^2+(1/$K27)^2))</f>
        <v>56.76368760628251</v>
      </c>
      <c r="AC27" s="223">
        <f t="shared" ref="AC27:AC43" si="5">-10*LOG10(1/9*((1/$I27)^2+(1/$J27)^2+(1/$K27)^2+(1/$L27)^2+(1/$M27)^2+(1/$N27)^2+(1/$O27)^2+(1/$P27)^2+(1/$Q27)^2))</f>
        <v>55.181563127008701</v>
      </c>
      <c r="AD27" s="142">
        <v>0.33333333333333331</v>
      </c>
      <c r="AE27" s="68">
        <f t="shared" ref="AE27:AE43" si="6">RANK(R27,R$27:R$43)</f>
        <v>12</v>
      </c>
      <c r="AF27" s="35">
        <f t="shared" ref="AF27:AF43" si="7">RANK(V27,V$27:V$43)</f>
        <v>12</v>
      </c>
      <c r="AG27" s="136">
        <f t="shared" ref="AG27:AG43" si="8">RANK(W27,W$27:W$43)</f>
        <v>8</v>
      </c>
      <c r="AH27" s="127">
        <f t="shared" ref="AH27:AH43" si="9">RANK(AA27,AA$27:AA$43,1)</f>
        <v>10</v>
      </c>
      <c r="AI27" s="35">
        <f t="shared" ref="AI27:AI43" si="10">RANK(AD27,AD$27:AD$43)</f>
        <v>9</v>
      </c>
      <c r="AJ27" s="35">
        <f t="shared" ref="AJ27:AJ43" si="11">RANK(AC27,AC$27:AC$43)</f>
        <v>9</v>
      </c>
      <c r="AK27" s="98"/>
      <c r="AM27">
        <v>10</v>
      </c>
      <c r="AN27">
        <v>10</v>
      </c>
      <c r="AO27">
        <v>15</v>
      </c>
      <c r="AP27">
        <v>5</v>
      </c>
      <c r="AQ27">
        <v>2</v>
      </c>
      <c r="AR27">
        <v>2</v>
      </c>
      <c r="AS27">
        <v>2</v>
      </c>
      <c r="AT27">
        <v>2</v>
      </c>
      <c r="AU27">
        <v>2</v>
      </c>
    </row>
    <row r="28" spans="1:47" x14ac:dyDescent="0.3">
      <c r="A28" s="74">
        <v>2</v>
      </c>
      <c r="B28" s="74" t="s">
        <v>61</v>
      </c>
      <c r="C28" s="75" t="s">
        <v>46</v>
      </c>
      <c r="D28" s="75" t="s">
        <v>64</v>
      </c>
      <c r="E28" s="75" t="s">
        <v>49</v>
      </c>
      <c r="F28" s="75" t="s">
        <v>78</v>
      </c>
      <c r="G28" s="75" t="s">
        <v>78</v>
      </c>
      <c r="H28" s="76" t="s">
        <v>82</v>
      </c>
      <c r="I28" s="74">
        <v>499</v>
      </c>
      <c r="J28" s="75">
        <v>536.5</v>
      </c>
      <c r="K28" s="75">
        <v>506.5</v>
      </c>
      <c r="L28" s="77">
        <v>540</v>
      </c>
      <c r="M28" s="77">
        <v>499</v>
      </c>
      <c r="N28" s="77">
        <v>481.5</v>
      </c>
      <c r="O28" s="77">
        <v>489</v>
      </c>
      <c r="P28" s="77">
        <v>343</v>
      </c>
      <c r="Q28" s="77">
        <v>417</v>
      </c>
      <c r="R28" s="87">
        <f t="shared" si="0"/>
        <v>514</v>
      </c>
      <c r="S28" s="88">
        <f t="shared" si="1"/>
        <v>519.5</v>
      </c>
      <c r="T28" s="88">
        <f t="shared" si="2"/>
        <v>485.25</v>
      </c>
      <c r="U28" s="88">
        <f t="shared" si="3"/>
        <v>380</v>
      </c>
      <c r="V28" s="89">
        <f t="shared" si="4"/>
        <v>479.05555555555554</v>
      </c>
      <c r="W28" s="87">
        <f t="shared" ref="W28:W42" si="12">_xlfn.STDEV.S(I28,J28,K28)</f>
        <v>19.843134832984429</v>
      </c>
      <c r="X28" s="88">
        <f t="shared" ref="X28:X42" si="13">_xlfn.STDEV.S(L28,M28)</f>
        <v>28.991378028648448</v>
      </c>
      <c r="Y28" s="88">
        <f t="shared" ref="Y28:Y42" si="14">_xlfn.STDEV.S(N28,O28)</f>
        <v>5.3033008588991066</v>
      </c>
      <c r="Z28" s="88">
        <f t="shared" ref="Z28:Z42" si="15">_xlfn.STDEV.S(P28,Q28)</f>
        <v>52.32590180780452</v>
      </c>
      <c r="AA28" s="88">
        <f t="shared" ref="AA28:AA43" si="16">AVERAGE(W28:Z28)</f>
        <v>26.615928882084127</v>
      </c>
      <c r="AB28" s="224">
        <f t="shared" ref="AB28:AB43" si="17">-10*LOG10(1/3*((1/$I28)^2+(1/$J28)^2+(1/$K28)^2))</f>
        <v>54.206628364896929</v>
      </c>
      <c r="AC28" s="225">
        <f t="shared" si="5"/>
        <v>53.353621350285856</v>
      </c>
      <c r="AD28" s="143">
        <v>0.33333333333333331</v>
      </c>
      <c r="AE28" s="74">
        <f t="shared" si="6"/>
        <v>17</v>
      </c>
      <c r="AF28" s="124">
        <f t="shared" si="7"/>
        <v>17</v>
      </c>
      <c r="AG28" s="135">
        <f t="shared" si="8"/>
        <v>15</v>
      </c>
      <c r="AH28" s="104">
        <f t="shared" si="9"/>
        <v>6</v>
      </c>
      <c r="AI28" s="124">
        <f t="shared" si="10"/>
        <v>9</v>
      </c>
      <c r="AJ28" s="124">
        <f t="shared" si="11"/>
        <v>17</v>
      </c>
      <c r="AK28" s="99"/>
      <c r="AM28">
        <v>10</v>
      </c>
      <c r="AN28">
        <v>2</v>
      </c>
      <c r="AO28">
        <v>10</v>
      </c>
      <c r="AP28">
        <v>2</v>
      </c>
      <c r="AQ28">
        <v>5</v>
      </c>
      <c r="AR28">
        <v>5</v>
      </c>
      <c r="AS28">
        <v>5</v>
      </c>
      <c r="AT28">
        <v>2</v>
      </c>
      <c r="AU28">
        <v>2</v>
      </c>
    </row>
    <row r="29" spans="1:47" x14ac:dyDescent="0.3">
      <c r="A29" s="68">
        <v>3</v>
      </c>
      <c r="B29" s="68" t="s">
        <v>61</v>
      </c>
      <c r="C29" s="62" t="s">
        <v>46</v>
      </c>
      <c r="D29" s="62" t="s">
        <v>66</v>
      </c>
      <c r="E29" s="62" t="s">
        <v>51</v>
      </c>
      <c r="F29" s="62" t="s">
        <v>78</v>
      </c>
      <c r="G29" s="62" t="s">
        <v>76</v>
      </c>
      <c r="H29" s="69" t="s">
        <v>82</v>
      </c>
      <c r="I29" s="68">
        <v>562</v>
      </c>
      <c r="J29" s="62">
        <v>563.5</v>
      </c>
      <c r="K29" s="62">
        <v>502</v>
      </c>
      <c r="L29" s="62">
        <v>458</v>
      </c>
      <c r="M29" s="62">
        <v>458.5</v>
      </c>
      <c r="N29" s="62">
        <v>531</v>
      </c>
      <c r="O29" s="62">
        <v>484</v>
      </c>
      <c r="P29" s="62">
        <v>495</v>
      </c>
      <c r="Q29" s="63">
        <v>430</v>
      </c>
      <c r="R29" s="85">
        <f t="shared" si="0"/>
        <v>542.5</v>
      </c>
      <c r="S29" s="86">
        <f t="shared" si="1"/>
        <v>458.25</v>
      </c>
      <c r="T29" s="86">
        <f t="shared" si="2"/>
        <v>507.5</v>
      </c>
      <c r="U29" s="86">
        <f t="shared" si="3"/>
        <v>462.5</v>
      </c>
      <c r="V29" s="91">
        <f t="shared" si="4"/>
        <v>498.22222222222223</v>
      </c>
      <c r="W29" s="85">
        <f t="shared" si="12"/>
        <v>35.082046690579496</v>
      </c>
      <c r="X29" s="86">
        <f t="shared" si="13"/>
        <v>0.35355339059327379</v>
      </c>
      <c r="Y29" s="86">
        <f t="shared" si="14"/>
        <v>33.234018715767732</v>
      </c>
      <c r="Z29" s="86">
        <f t="shared" si="15"/>
        <v>45.961940777125591</v>
      </c>
      <c r="AA29" s="86">
        <f t="shared" si="16"/>
        <v>28.657889893516526</v>
      </c>
      <c r="AB29" s="222">
        <f t="shared" si="17"/>
        <v>54.649761899621836</v>
      </c>
      <c r="AC29" s="223">
        <f t="shared" si="5"/>
        <v>53.847199708133587</v>
      </c>
      <c r="AD29" s="142">
        <v>0.88888888888888884</v>
      </c>
      <c r="AE29" s="68">
        <f t="shared" si="6"/>
        <v>16</v>
      </c>
      <c r="AF29" s="35">
        <f t="shared" si="7"/>
        <v>16</v>
      </c>
      <c r="AG29" s="136">
        <f t="shared" si="8"/>
        <v>12</v>
      </c>
      <c r="AH29" s="126">
        <f t="shared" si="9"/>
        <v>7</v>
      </c>
      <c r="AI29" s="111">
        <f t="shared" si="10"/>
        <v>1</v>
      </c>
      <c r="AJ29" s="132">
        <f t="shared" si="11"/>
        <v>15</v>
      </c>
      <c r="AK29" s="99"/>
      <c r="AM29">
        <v>10</v>
      </c>
      <c r="AN29">
        <v>10</v>
      </c>
      <c r="AO29">
        <v>5</v>
      </c>
      <c r="AP29">
        <v>5</v>
      </c>
      <c r="AQ29">
        <v>5</v>
      </c>
      <c r="AR29">
        <v>5</v>
      </c>
      <c r="AS29">
        <v>2</v>
      </c>
      <c r="AT29">
        <v>2</v>
      </c>
      <c r="AU29">
        <v>2</v>
      </c>
    </row>
    <row r="30" spans="1:47" x14ac:dyDescent="0.3">
      <c r="A30" s="74">
        <v>4</v>
      </c>
      <c r="B30" s="74" t="s">
        <v>61</v>
      </c>
      <c r="C30" s="75" t="s">
        <v>46</v>
      </c>
      <c r="D30" s="75" t="s">
        <v>66</v>
      </c>
      <c r="E30" s="75" t="s">
        <v>49</v>
      </c>
      <c r="F30" s="75" t="s">
        <v>76</v>
      </c>
      <c r="G30" s="75" t="s">
        <v>78</v>
      </c>
      <c r="H30" s="76" t="s">
        <v>80</v>
      </c>
      <c r="I30" s="74">
        <v>756</v>
      </c>
      <c r="J30" s="75">
        <v>668</v>
      </c>
      <c r="K30" s="75">
        <v>702.5</v>
      </c>
      <c r="L30" s="77">
        <v>565</v>
      </c>
      <c r="M30" s="77">
        <v>572</v>
      </c>
      <c r="N30" s="77">
        <v>508</v>
      </c>
      <c r="O30" s="77">
        <v>503.5</v>
      </c>
      <c r="P30" s="77">
        <v>489</v>
      </c>
      <c r="Q30" s="77">
        <v>387</v>
      </c>
      <c r="R30" s="87">
        <f t="shared" si="0"/>
        <v>708.83333333333337</v>
      </c>
      <c r="S30" s="88">
        <f t="shared" si="1"/>
        <v>568.5</v>
      </c>
      <c r="T30" s="88">
        <f t="shared" si="2"/>
        <v>505.75</v>
      </c>
      <c r="U30" s="88">
        <f t="shared" si="3"/>
        <v>438</v>
      </c>
      <c r="V30" s="89">
        <f t="shared" si="4"/>
        <v>572.33333333333337</v>
      </c>
      <c r="W30" s="87">
        <f t="shared" si="12"/>
        <v>44.340538261655475</v>
      </c>
      <c r="X30" s="88">
        <f t="shared" si="13"/>
        <v>4.9497474683058327</v>
      </c>
      <c r="Y30" s="88">
        <f t="shared" si="14"/>
        <v>3.1819805153394638</v>
      </c>
      <c r="Z30" s="88">
        <f t="shared" si="15"/>
        <v>72.124891681027847</v>
      </c>
      <c r="AA30" s="88">
        <f t="shared" si="16"/>
        <v>31.149289481582151</v>
      </c>
      <c r="AB30" s="224">
        <f t="shared" si="17"/>
        <v>56.977401764888228</v>
      </c>
      <c r="AC30" s="225">
        <f t="shared" si="5"/>
        <v>54.645018172914803</v>
      </c>
      <c r="AD30" s="143">
        <v>0.33333333333333331</v>
      </c>
      <c r="AE30" s="74">
        <f t="shared" si="6"/>
        <v>11</v>
      </c>
      <c r="AF30" s="124">
        <f t="shared" si="7"/>
        <v>13</v>
      </c>
      <c r="AG30" s="135">
        <f t="shared" si="8"/>
        <v>10</v>
      </c>
      <c r="AH30" s="103">
        <f t="shared" si="9"/>
        <v>8</v>
      </c>
      <c r="AI30" s="124">
        <f t="shared" si="10"/>
        <v>9</v>
      </c>
      <c r="AJ30" s="133">
        <f t="shared" si="11"/>
        <v>12</v>
      </c>
      <c r="AK30" s="99"/>
      <c r="AM30">
        <v>15</v>
      </c>
      <c r="AN30">
        <v>10</v>
      </c>
      <c r="AO30">
        <v>15</v>
      </c>
      <c r="AP30">
        <v>5</v>
      </c>
      <c r="AQ30">
        <v>10</v>
      </c>
      <c r="AR30">
        <v>5</v>
      </c>
      <c r="AS30">
        <v>2</v>
      </c>
      <c r="AT30">
        <v>2</v>
      </c>
      <c r="AU30">
        <v>2</v>
      </c>
    </row>
    <row r="31" spans="1:47" x14ac:dyDescent="0.3">
      <c r="A31" s="68">
        <v>5</v>
      </c>
      <c r="B31" s="68" t="s">
        <v>61</v>
      </c>
      <c r="C31" s="62" t="s">
        <v>45</v>
      </c>
      <c r="D31" s="62" t="s">
        <v>64</v>
      </c>
      <c r="E31" s="62" t="s">
        <v>51</v>
      </c>
      <c r="F31" s="62" t="s">
        <v>78</v>
      </c>
      <c r="G31" s="62" t="s">
        <v>76</v>
      </c>
      <c r="H31" s="69" t="s">
        <v>82</v>
      </c>
      <c r="I31" s="68">
        <v>627</v>
      </c>
      <c r="J31" s="62">
        <v>586</v>
      </c>
      <c r="K31" s="62">
        <v>600</v>
      </c>
      <c r="L31" s="62">
        <v>487</v>
      </c>
      <c r="M31" s="62">
        <v>531</v>
      </c>
      <c r="N31" s="62">
        <v>463</v>
      </c>
      <c r="O31" s="63">
        <v>431</v>
      </c>
      <c r="P31" s="63">
        <v>382</v>
      </c>
      <c r="Q31" s="63">
        <v>391</v>
      </c>
      <c r="R31" s="85">
        <f t="shared" si="0"/>
        <v>604.33333333333337</v>
      </c>
      <c r="S31" s="86">
        <f t="shared" si="1"/>
        <v>509</v>
      </c>
      <c r="T31" s="86">
        <f t="shared" si="2"/>
        <v>447</v>
      </c>
      <c r="U31" s="86">
        <f t="shared" si="3"/>
        <v>386.5</v>
      </c>
      <c r="V31" s="91">
        <f t="shared" si="4"/>
        <v>499.77777777777777</v>
      </c>
      <c r="W31" s="85">
        <f t="shared" si="12"/>
        <v>20.840665376454112</v>
      </c>
      <c r="X31" s="86">
        <f t="shared" si="13"/>
        <v>31.11269837220809</v>
      </c>
      <c r="Y31" s="86">
        <f t="shared" si="14"/>
        <v>22.627416997969522</v>
      </c>
      <c r="Z31" s="86">
        <f t="shared" si="15"/>
        <v>6.3639610306789276</v>
      </c>
      <c r="AA31" s="86">
        <f t="shared" si="16"/>
        <v>20.23618544432766</v>
      </c>
      <c r="AB31" s="222">
        <f t="shared" si="17"/>
        <v>55.615334988420258</v>
      </c>
      <c r="AC31" s="223">
        <f t="shared" si="5"/>
        <v>53.583211656764156</v>
      </c>
      <c r="AD31" s="142">
        <v>0.66666666666666663</v>
      </c>
      <c r="AE31" s="68">
        <f t="shared" si="6"/>
        <v>14</v>
      </c>
      <c r="AF31" s="35">
        <f t="shared" si="7"/>
        <v>15</v>
      </c>
      <c r="AG31" s="136">
        <f t="shared" si="8"/>
        <v>14</v>
      </c>
      <c r="AH31" s="127">
        <f t="shared" si="9"/>
        <v>4</v>
      </c>
      <c r="AI31" s="111">
        <f t="shared" si="10"/>
        <v>2</v>
      </c>
      <c r="AJ31" s="132">
        <f t="shared" si="11"/>
        <v>16</v>
      </c>
      <c r="AK31" s="99"/>
      <c r="AM31">
        <v>40</v>
      </c>
      <c r="AN31">
        <v>20</v>
      </c>
      <c r="AO31">
        <v>30</v>
      </c>
      <c r="AP31">
        <v>20</v>
      </c>
      <c r="AQ31">
        <v>10</v>
      </c>
      <c r="AR31">
        <v>10</v>
      </c>
      <c r="AS31">
        <v>5</v>
      </c>
      <c r="AT31">
        <v>5</v>
      </c>
      <c r="AU31">
        <v>2</v>
      </c>
    </row>
    <row r="32" spans="1:47" x14ac:dyDescent="0.3">
      <c r="A32" s="74">
        <v>6</v>
      </c>
      <c r="B32" s="74" t="s">
        <v>61</v>
      </c>
      <c r="C32" s="75" t="s">
        <v>45</v>
      </c>
      <c r="D32" s="75" t="s">
        <v>64</v>
      </c>
      <c r="E32" s="75" t="s">
        <v>49</v>
      </c>
      <c r="F32" s="75" t="s">
        <v>76</v>
      </c>
      <c r="G32" s="75" t="s">
        <v>78</v>
      </c>
      <c r="H32" s="76" t="s">
        <v>80</v>
      </c>
      <c r="I32" s="74">
        <v>756</v>
      </c>
      <c r="J32" s="75">
        <v>531</v>
      </c>
      <c r="K32" s="75">
        <v>720</v>
      </c>
      <c r="L32" s="75">
        <v>625</v>
      </c>
      <c r="M32" s="75">
        <v>723</v>
      </c>
      <c r="N32" s="75">
        <v>570.5</v>
      </c>
      <c r="O32" s="77">
        <v>583</v>
      </c>
      <c r="P32" s="77">
        <v>505</v>
      </c>
      <c r="Q32" s="77">
        <v>503</v>
      </c>
      <c r="R32" s="87">
        <f t="shared" si="0"/>
        <v>669</v>
      </c>
      <c r="S32" s="88">
        <f t="shared" si="1"/>
        <v>674</v>
      </c>
      <c r="T32" s="88">
        <f t="shared" si="2"/>
        <v>576.75</v>
      </c>
      <c r="U32" s="88">
        <f t="shared" si="3"/>
        <v>504</v>
      </c>
      <c r="V32" s="89">
        <f t="shared" si="4"/>
        <v>612.94444444444446</v>
      </c>
      <c r="W32" s="87">
        <f t="shared" si="12"/>
        <v>120.85942247090212</v>
      </c>
      <c r="X32" s="88">
        <f t="shared" si="13"/>
        <v>69.296464556281663</v>
      </c>
      <c r="Y32" s="88">
        <f t="shared" si="14"/>
        <v>8.8388347648318444</v>
      </c>
      <c r="Z32" s="88">
        <f t="shared" si="15"/>
        <v>1.4142135623730951</v>
      </c>
      <c r="AA32" s="88">
        <f t="shared" si="16"/>
        <v>50.102233838597186</v>
      </c>
      <c r="AB32" s="224">
        <f t="shared" si="17"/>
        <v>56.182669825142199</v>
      </c>
      <c r="AC32" s="225">
        <f t="shared" si="5"/>
        <v>55.462309898522705</v>
      </c>
      <c r="AD32" s="143">
        <v>0.66666666666666663</v>
      </c>
      <c r="AE32" s="74">
        <f t="shared" si="6"/>
        <v>13</v>
      </c>
      <c r="AF32" s="124">
        <f t="shared" si="7"/>
        <v>11</v>
      </c>
      <c r="AG32" s="135">
        <f t="shared" si="8"/>
        <v>5</v>
      </c>
      <c r="AH32" s="103">
        <f t="shared" si="9"/>
        <v>12</v>
      </c>
      <c r="AI32" s="125">
        <f t="shared" si="10"/>
        <v>2</v>
      </c>
      <c r="AJ32" s="133">
        <f t="shared" si="11"/>
        <v>8</v>
      </c>
      <c r="AK32" s="99" t="s">
        <v>137</v>
      </c>
      <c r="AM32">
        <v>80</v>
      </c>
      <c r="AN32">
        <v>70</v>
      </c>
      <c r="AO32">
        <v>70</v>
      </c>
      <c r="AP32">
        <v>20</v>
      </c>
      <c r="AQ32">
        <v>40</v>
      </c>
      <c r="AR32">
        <v>10</v>
      </c>
      <c r="AS32">
        <v>10</v>
      </c>
      <c r="AT32">
        <v>5</v>
      </c>
      <c r="AU32">
        <v>2</v>
      </c>
    </row>
    <row r="33" spans="1:47" x14ac:dyDescent="0.3">
      <c r="A33" s="68">
        <v>7</v>
      </c>
      <c r="B33" s="68" t="s">
        <v>61</v>
      </c>
      <c r="C33" s="62" t="s">
        <v>45</v>
      </c>
      <c r="D33" s="62" t="s">
        <v>66</v>
      </c>
      <c r="E33" s="62" t="s">
        <v>51</v>
      </c>
      <c r="F33" s="62" t="s">
        <v>78</v>
      </c>
      <c r="G33" s="62" t="s">
        <v>78</v>
      </c>
      <c r="H33" s="69" t="s">
        <v>80</v>
      </c>
      <c r="I33" s="68">
        <v>591</v>
      </c>
      <c r="J33" s="62">
        <v>599.5</v>
      </c>
      <c r="K33" s="62">
        <v>583</v>
      </c>
      <c r="L33" s="62">
        <v>529</v>
      </c>
      <c r="M33" s="62">
        <v>495</v>
      </c>
      <c r="N33" s="62">
        <v>523</v>
      </c>
      <c r="O33" s="63">
        <v>501</v>
      </c>
      <c r="P33" s="63">
        <v>456.5</v>
      </c>
      <c r="Q33" s="63">
        <v>491</v>
      </c>
      <c r="R33" s="85">
        <f t="shared" si="0"/>
        <v>591.16666666666663</v>
      </c>
      <c r="S33" s="86">
        <f t="shared" si="1"/>
        <v>512</v>
      </c>
      <c r="T33" s="86">
        <f t="shared" si="2"/>
        <v>512</v>
      </c>
      <c r="U33" s="86">
        <f t="shared" si="3"/>
        <v>473.75</v>
      </c>
      <c r="V33" s="91">
        <f t="shared" si="4"/>
        <v>529.88888888888891</v>
      </c>
      <c r="W33" s="85">
        <f t="shared" si="12"/>
        <v>8.2512625296577102</v>
      </c>
      <c r="X33" s="86">
        <f t="shared" si="13"/>
        <v>24.041630560342615</v>
      </c>
      <c r="Y33" s="86">
        <f t="shared" si="14"/>
        <v>15.556349186104045</v>
      </c>
      <c r="Z33" s="86">
        <f t="shared" si="15"/>
        <v>24.395183950935891</v>
      </c>
      <c r="AA33" s="86">
        <f t="shared" si="16"/>
        <v>18.061106556760066</v>
      </c>
      <c r="AB33" s="222">
        <f t="shared" si="17"/>
        <v>55.432507359895247</v>
      </c>
      <c r="AC33" s="223">
        <f t="shared" si="5"/>
        <v>54.379869422018771</v>
      </c>
      <c r="AD33" s="142">
        <v>0.66666666666666663</v>
      </c>
      <c r="AE33" s="68">
        <f t="shared" si="6"/>
        <v>15</v>
      </c>
      <c r="AF33" s="35">
        <f t="shared" si="7"/>
        <v>14</v>
      </c>
      <c r="AG33" s="136">
        <f t="shared" si="8"/>
        <v>17</v>
      </c>
      <c r="AH33" s="126">
        <f t="shared" si="9"/>
        <v>2</v>
      </c>
      <c r="AI33" s="111">
        <f t="shared" si="10"/>
        <v>2</v>
      </c>
      <c r="AJ33" s="132">
        <f t="shared" si="11"/>
        <v>13</v>
      </c>
      <c r="AK33" s="99"/>
      <c r="AM33">
        <v>40</v>
      </c>
      <c r="AN33">
        <v>30</v>
      </c>
      <c r="AO33">
        <v>60</v>
      </c>
      <c r="AP33">
        <v>20</v>
      </c>
      <c r="AQ33">
        <v>20</v>
      </c>
      <c r="AR33">
        <v>20</v>
      </c>
      <c r="AS33">
        <v>10</v>
      </c>
      <c r="AT33">
        <v>10</v>
      </c>
      <c r="AU33">
        <v>5</v>
      </c>
    </row>
    <row r="34" spans="1:47" x14ac:dyDescent="0.3">
      <c r="A34" s="74">
        <v>8</v>
      </c>
      <c r="B34" s="74" t="s">
        <v>61</v>
      </c>
      <c r="C34" s="75" t="s">
        <v>45</v>
      </c>
      <c r="D34" s="75" t="s">
        <v>66</v>
      </c>
      <c r="E34" s="75" t="s">
        <v>49</v>
      </c>
      <c r="F34" s="75" t="s">
        <v>76</v>
      </c>
      <c r="G34" s="75" t="s">
        <v>76</v>
      </c>
      <c r="H34" s="76" t="s">
        <v>82</v>
      </c>
      <c r="I34" s="74">
        <v>762</v>
      </c>
      <c r="J34" s="75">
        <v>772</v>
      </c>
      <c r="K34" s="75">
        <v>743</v>
      </c>
      <c r="L34" s="75">
        <v>634</v>
      </c>
      <c r="M34" s="75">
        <v>632</v>
      </c>
      <c r="N34" s="77">
        <v>577</v>
      </c>
      <c r="O34" s="77">
        <v>577.5</v>
      </c>
      <c r="P34" s="77">
        <v>511.5</v>
      </c>
      <c r="Q34" s="77">
        <v>552.5</v>
      </c>
      <c r="R34" s="87">
        <f t="shared" si="0"/>
        <v>759</v>
      </c>
      <c r="S34" s="88">
        <f t="shared" si="1"/>
        <v>633</v>
      </c>
      <c r="T34" s="88">
        <f t="shared" si="2"/>
        <v>577.25</v>
      </c>
      <c r="U34" s="88">
        <f t="shared" si="3"/>
        <v>532</v>
      </c>
      <c r="V34" s="89">
        <f t="shared" si="4"/>
        <v>640.16666666666663</v>
      </c>
      <c r="W34" s="87">
        <f t="shared" si="12"/>
        <v>14.730919862656235</v>
      </c>
      <c r="X34" s="88">
        <f t="shared" si="13"/>
        <v>1.4142135623730951</v>
      </c>
      <c r="Y34" s="88">
        <f t="shared" si="14"/>
        <v>0.35355339059327379</v>
      </c>
      <c r="Z34" s="88">
        <f t="shared" si="15"/>
        <v>28.991378028648448</v>
      </c>
      <c r="AA34" s="88">
        <f t="shared" si="16"/>
        <v>11.372516211067762</v>
      </c>
      <c r="AB34" s="224">
        <f t="shared" si="17"/>
        <v>57.601538071738517</v>
      </c>
      <c r="AC34" s="225">
        <f t="shared" si="5"/>
        <v>55.868273364595581</v>
      </c>
      <c r="AD34" s="143">
        <v>0.55555555555555558</v>
      </c>
      <c r="AE34" s="74">
        <f t="shared" si="6"/>
        <v>10</v>
      </c>
      <c r="AF34" s="124">
        <f t="shared" si="7"/>
        <v>9</v>
      </c>
      <c r="AG34" s="135">
        <f t="shared" si="8"/>
        <v>16</v>
      </c>
      <c r="AH34" s="103">
        <f t="shared" si="9"/>
        <v>1</v>
      </c>
      <c r="AI34" s="124">
        <f t="shared" si="10"/>
        <v>5</v>
      </c>
      <c r="AJ34" s="124">
        <f t="shared" si="11"/>
        <v>5</v>
      </c>
      <c r="AK34" s="99"/>
      <c r="AM34">
        <v>40</v>
      </c>
      <c r="AN34">
        <v>30</v>
      </c>
      <c r="AO34">
        <v>40</v>
      </c>
      <c r="AP34">
        <v>12</v>
      </c>
      <c r="AQ34">
        <v>10</v>
      </c>
      <c r="AR34">
        <v>5</v>
      </c>
      <c r="AS34">
        <v>5</v>
      </c>
      <c r="AT34">
        <v>2</v>
      </c>
      <c r="AU34">
        <v>2</v>
      </c>
    </row>
    <row r="35" spans="1:47" x14ac:dyDescent="0.3">
      <c r="A35" s="68">
        <v>9</v>
      </c>
      <c r="B35" s="68" t="s">
        <v>74</v>
      </c>
      <c r="C35" s="62" t="s">
        <v>46</v>
      </c>
      <c r="D35" s="62" t="s">
        <v>64</v>
      </c>
      <c r="E35" s="62" t="s">
        <v>51</v>
      </c>
      <c r="F35" s="62" t="s">
        <v>76</v>
      </c>
      <c r="G35" s="62" t="s">
        <v>76</v>
      </c>
      <c r="H35" s="69" t="s">
        <v>82</v>
      </c>
      <c r="I35" s="92">
        <v>773</v>
      </c>
      <c r="J35" s="63">
        <v>834</v>
      </c>
      <c r="K35" s="63">
        <v>858</v>
      </c>
      <c r="L35" s="63">
        <v>675</v>
      </c>
      <c r="M35" s="63">
        <v>641</v>
      </c>
      <c r="N35" s="63">
        <v>611</v>
      </c>
      <c r="O35" s="63">
        <v>520</v>
      </c>
      <c r="P35" s="63">
        <v>514</v>
      </c>
      <c r="Q35" s="63">
        <v>486</v>
      </c>
      <c r="R35" s="85">
        <f t="shared" si="0"/>
        <v>821.66666666666663</v>
      </c>
      <c r="S35" s="86">
        <f t="shared" si="1"/>
        <v>658</v>
      </c>
      <c r="T35" s="86">
        <f t="shared" si="2"/>
        <v>565.5</v>
      </c>
      <c r="U35" s="86">
        <f t="shared" si="3"/>
        <v>500</v>
      </c>
      <c r="V35" s="91">
        <f t="shared" si="4"/>
        <v>656.88888888888891</v>
      </c>
      <c r="W35" s="85">
        <f t="shared" si="12"/>
        <v>43.821608064211127</v>
      </c>
      <c r="X35" s="86">
        <f t="shared" si="13"/>
        <v>24.041630560342615</v>
      </c>
      <c r="Y35" s="86">
        <f t="shared" si="14"/>
        <v>64.346717087975819</v>
      </c>
      <c r="Z35" s="86">
        <f t="shared" si="15"/>
        <v>19.798989873223331</v>
      </c>
      <c r="AA35" s="86">
        <f t="shared" si="16"/>
        <v>38.002236396438221</v>
      </c>
      <c r="AB35" s="222">
        <f t="shared" si="17"/>
        <v>58.268476730885972</v>
      </c>
      <c r="AC35" s="223">
        <f t="shared" si="5"/>
        <v>55.832863189330794</v>
      </c>
      <c r="AD35" s="142">
        <v>0</v>
      </c>
      <c r="AE35" s="68">
        <f t="shared" si="6"/>
        <v>8</v>
      </c>
      <c r="AF35" s="35">
        <f t="shared" si="7"/>
        <v>8</v>
      </c>
      <c r="AG35" s="136">
        <f t="shared" si="8"/>
        <v>11</v>
      </c>
      <c r="AH35" s="127">
        <f t="shared" si="9"/>
        <v>11</v>
      </c>
      <c r="AI35" s="35">
        <f t="shared" si="10"/>
        <v>16</v>
      </c>
      <c r="AJ35" s="35">
        <f t="shared" si="11"/>
        <v>6</v>
      </c>
      <c r="AK35" s="99"/>
      <c r="AM35">
        <v>20</v>
      </c>
      <c r="AN35">
        <v>20</v>
      </c>
      <c r="AO35">
        <v>20</v>
      </c>
      <c r="AP35">
        <v>10</v>
      </c>
      <c r="AQ35">
        <v>2</v>
      </c>
      <c r="AR35">
        <v>2</v>
      </c>
      <c r="AS35">
        <v>2</v>
      </c>
      <c r="AT35">
        <v>2</v>
      </c>
      <c r="AU35">
        <v>2</v>
      </c>
    </row>
    <row r="36" spans="1:47" x14ac:dyDescent="0.3">
      <c r="A36" s="74">
        <v>10</v>
      </c>
      <c r="B36" s="74" t="s">
        <v>74</v>
      </c>
      <c r="C36" s="75" t="s">
        <v>46</v>
      </c>
      <c r="D36" s="75" t="s">
        <v>64</v>
      </c>
      <c r="E36" s="75" t="s">
        <v>49</v>
      </c>
      <c r="F36" s="75" t="s">
        <v>78</v>
      </c>
      <c r="G36" s="75" t="s">
        <v>78</v>
      </c>
      <c r="H36" s="76" t="s">
        <v>80</v>
      </c>
      <c r="I36" s="74">
        <v>1088</v>
      </c>
      <c r="J36" s="75">
        <v>983</v>
      </c>
      <c r="K36" s="75">
        <v>1010</v>
      </c>
      <c r="L36" s="75">
        <v>967</v>
      </c>
      <c r="M36" s="75">
        <v>943.5</v>
      </c>
      <c r="N36" s="77">
        <v>578</v>
      </c>
      <c r="O36" s="77">
        <v>572</v>
      </c>
      <c r="P36" s="77">
        <v>328</v>
      </c>
      <c r="Q36" s="77">
        <v>348.5</v>
      </c>
      <c r="R36" s="87">
        <f t="shared" si="0"/>
        <v>1027</v>
      </c>
      <c r="S36" s="88">
        <f t="shared" si="1"/>
        <v>955.25</v>
      </c>
      <c r="T36" s="88">
        <f t="shared" si="2"/>
        <v>575</v>
      </c>
      <c r="U36" s="88">
        <f t="shared" si="3"/>
        <v>338.25</v>
      </c>
      <c r="V36" s="89">
        <f t="shared" si="4"/>
        <v>757.55555555555554</v>
      </c>
      <c r="W36" s="87">
        <f t="shared" si="12"/>
        <v>54.52522352086234</v>
      </c>
      <c r="X36" s="88">
        <f t="shared" si="13"/>
        <v>16.617009357883866</v>
      </c>
      <c r="Y36" s="88">
        <f t="shared" si="14"/>
        <v>4.2426406871192848</v>
      </c>
      <c r="Z36" s="88">
        <f t="shared" si="15"/>
        <v>14.495689014324224</v>
      </c>
      <c r="AA36" s="88">
        <f t="shared" si="16"/>
        <v>22.470140645047429</v>
      </c>
      <c r="AB36" s="224">
        <f t="shared" si="17"/>
        <v>60.207612384576393</v>
      </c>
      <c r="AC36" s="225">
        <f t="shared" si="5"/>
        <v>54.97404103760352</v>
      </c>
      <c r="AD36" s="143">
        <v>0.55555555555555558</v>
      </c>
      <c r="AE36" s="74">
        <f t="shared" si="6"/>
        <v>5</v>
      </c>
      <c r="AF36" s="124">
        <f t="shared" si="7"/>
        <v>5</v>
      </c>
      <c r="AG36" s="135">
        <f t="shared" si="8"/>
        <v>7</v>
      </c>
      <c r="AH36" s="103">
        <f t="shared" si="9"/>
        <v>5</v>
      </c>
      <c r="AI36" s="124">
        <f t="shared" si="10"/>
        <v>5</v>
      </c>
      <c r="AJ36" s="124">
        <f t="shared" si="11"/>
        <v>11</v>
      </c>
      <c r="AK36" s="99"/>
      <c r="AM36">
        <v>20</v>
      </c>
      <c r="AN36">
        <v>20</v>
      </c>
      <c r="AO36">
        <v>20</v>
      </c>
      <c r="AP36">
        <v>10</v>
      </c>
      <c r="AQ36">
        <v>5</v>
      </c>
      <c r="AR36">
        <v>5</v>
      </c>
      <c r="AS36">
        <v>2</v>
      </c>
      <c r="AT36">
        <v>2</v>
      </c>
      <c r="AU36">
        <v>2</v>
      </c>
    </row>
    <row r="37" spans="1:47" x14ac:dyDescent="0.3">
      <c r="A37" s="68">
        <v>11</v>
      </c>
      <c r="B37" s="68" t="s">
        <v>74</v>
      </c>
      <c r="C37" s="62" t="s">
        <v>46</v>
      </c>
      <c r="D37" s="62" t="s">
        <v>66</v>
      </c>
      <c r="E37" s="62" t="s">
        <v>51</v>
      </c>
      <c r="F37" s="62" t="s">
        <v>78</v>
      </c>
      <c r="G37" s="62" t="s">
        <v>76</v>
      </c>
      <c r="H37" s="69" t="s">
        <v>80</v>
      </c>
      <c r="I37" s="68">
        <v>1006</v>
      </c>
      <c r="J37" s="62">
        <v>1124</v>
      </c>
      <c r="K37" s="62">
        <v>1132</v>
      </c>
      <c r="L37" s="62">
        <v>1005</v>
      </c>
      <c r="M37" s="62">
        <v>991</v>
      </c>
      <c r="N37" s="63">
        <v>810</v>
      </c>
      <c r="O37" s="63">
        <v>623</v>
      </c>
      <c r="P37" s="63">
        <v>596.5</v>
      </c>
      <c r="Q37" s="63">
        <v>618</v>
      </c>
      <c r="R37" s="85">
        <f t="shared" si="0"/>
        <v>1087.3333333333333</v>
      </c>
      <c r="S37" s="86">
        <f t="shared" si="1"/>
        <v>998</v>
      </c>
      <c r="T37" s="86">
        <f t="shared" si="2"/>
        <v>716.5</v>
      </c>
      <c r="U37" s="86">
        <f t="shared" si="3"/>
        <v>607.25</v>
      </c>
      <c r="V37" s="91">
        <f t="shared" si="4"/>
        <v>878.38888888888891</v>
      </c>
      <c r="W37" s="85">
        <f t="shared" si="12"/>
        <v>70.550218520804975</v>
      </c>
      <c r="X37" s="86">
        <f t="shared" si="13"/>
        <v>9.8994949366116654</v>
      </c>
      <c r="Y37" s="86">
        <f t="shared" si="14"/>
        <v>132.22896808188437</v>
      </c>
      <c r="Z37" s="86">
        <f t="shared" si="15"/>
        <v>15.202795795510772</v>
      </c>
      <c r="AA37" s="86">
        <f t="shared" si="16"/>
        <v>56.970369333702948</v>
      </c>
      <c r="AB37" s="222">
        <f t="shared" si="17"/>
        <v>60.688780723368993</v>
      </c>
      <c r="AC37" s="223">
        <f t="shared" si="5"/>
        <v>58.050926048103165</v>
      </c>
      <c r="AD37" s="142">
        <v>0.55555555555555558</v>
      </c>
      <c r="AE37" s="68">
        <f t="shared" si="6"/>
        <v>4</v>
      </c>
      <c r="AF37" s="111">
        <f t="shared" si="7"/>
        <v>1</v>
      </c>
      <c r="AG37" s="136">
        <f t="shared" si="8"/>
        <v>6</v>
      </c>
      <c r="AH37" s="127">
        <f t="shared" si="9"/>
        <v>14</v>
      </c>
      <c r="AI37" s="35">
        <f t="shared" si="10"/>
        <v>5</v>
      </c>
      <c r="AJ37" s="111">
        <f t="shared" si="11"/>
        <v>1</v>
      </c>
      <c r="AK37" s="99"/>
      <c r="AM37">
        <v>25</v>
      </c>
      <c r="AN37">
        <v>10</v>
      </c>
      <c r="AO37">
        <v>20</v>
      </c>
      <c r="AP37">
        <v>10</v>
      </c>
      <c r="AQ37">
        <v>5</v>
      </c>
      <c r="AR37">
        <v>5</v>
      </c>
      <c r="AS37">
        <v>5</v>
      </c>
      <c r="AT37">
        <v>5</v>
      </c>
      <c r="AU37">
        <v>5</v>
      </c>
    </row>
    <row r="38" spans="1:47" x14ac:dyDescent="0.3">
      <c r="A38" s="74">
        <v>12</v>
      </c>
      <c r="B38" s="74" t="s">
        <v>74</v>
      </c>
      <c r="C38" s="75" t="s">
        <v>46</v>
      </c>
      <c r="D38" s="75" t="s">
        <v>66</v>
      </c>
      <c r="E38" s="75" t="s">
        <v>49</v>
      </c>
      <c r="F38" s="75" t="s">
        <v>76</v>
      </c>
      <c r="G38" s="75" t="s">
        <v>78</v>
      </c>
      <c r="H38" s="76" t="s">
        <v>82</v>
      </c>
      <c r="I38" s="74">
        <v>1337</v>
      </c>
      <c r="J38" s="75">
        <v>1295</v>
      </c>
      <c r="K38" s="77">
        <v>989</v>
      </c>
      <c r="L38" s="77">
        <v>497</v>
      </c>
      <c r="M38" s="77">
        <v>528</v>
      </c>
      <c r="N38" s="77">
        <v>475</v>
      </c>
      <c r="O38" s="77">
        <v>467</v>
      </c>
      <c r="P38" s="77">
        <v>454</v>
      </c>
      <c r="Q38" s="77">
        <v>469</v>
      </c>
      <c r="R38" s="87">
        <f t="shared" si="0"/>
        <v>1207</v>
      </c>
      <c r="S38" s="88">
        <f t="shared" si="1"/>
        <v>512.5</v>
      </c>
      <c r="T38" s="88">
        <f t="shared" si="2"/>
        <v>471</v>
      </c>
      <c r="U38" s="88">
        <f t="shared" si="3"/>
        <v>461.5</v>
      </c>
      <c r="V38" s="89">
        <f t="shared" si="4"/>
        <v>723.44444444444446</v>
      </c>
      <c r="W38" s="87">
        <f t="shared" si="12"/>
        <v>189.9578900704048</v>
      </c>
      <c r="X38" s="88">
        <f t="shared" si="13"/>
        <v>21.920310216782973</v>
      </c>
      <c r="Y38" s="88">
        <f t="shared" si="14"/>
        <v>5.6568542494923806</v>
      </c>
      <c r="Z38" s="88">
        <f t="shared" si="15"/>
        <v>10.606601717798213</v>
      </c>
      <c r="AA38" s="88">
        <f t="shared" si="16"/>
        <v>57.035414063619591</v>
      </c>
      <c r="AB38" s="224">
        <f t="shared" si="17"/>
        <v>61.390471492212981</v>
      </c>
      <c r="AC38" s="225">
        <f t="shared" si="5"/>
        <v>55.035495130368382</v>
      </c>
      <c r="AD38" s="143">
        <v>0.22222222222222221</v>
      </c>
      <c r="AE38" s="157">
        <f t="shared" si="6"/>
        <v>1</v>
      </c>
      <c r="AF38" s="124">
        <f t="shared" si="7"/>
        <v>7</v>
      </c>
      <c r="AG38" s="104">
        <f t="shared" si="8"/>
        <v>2</v>
      </c>
      <c r="AH38" s="103">
        <f t="shared" si="9"/>
        <v>15</v>
      </c>
      <c r="AI38" s="124">
        <f t="shared" si="10"/>
        <v>14</v>
      </c>
      <c r="AJ38" s="124">
        <f t="shared" si="11"/>
        <v>10</v>
      </c>
      <c r="AK38" s="99"/>
      <c r="AM38">
        <v>10</v>
      </c>
      <c r="AN38">
        <v>10</v>
      </c>
      <c r="AO38">
        <v>10</v>
      </c>
      <c r="AP38">
        <v>5</v>
      </c>
      <c r="AQ38">
        <v>5</v>
      </c>
      <c r="AR38">
        <v>5</v>
      </c>
      <c r="AS38">
        <v>2</v>
      </c>
      <c r="AT38">
        <v>5</v>
      </c>
      <c r="AU38">
        <v>2</v>
      </c>
    </row>
    <row r="39" spans="1:47" x14ac:dyDescent="0.3">
      <c r="A39" s="68">
        <v>13</v>
      </c>
      <c r="B39" s="68" t="s">
        <v>74</v>
      </c>
      <c r="C39" s="62" t="s">
        <v>45</v>
      </c>
      <c r="D39" s="62" t="s">
        <v>64</v>
      </c>
      <c r="E39" s="62" t="s">
        <v>51</v>
      </c>
      <c r="F39" s="62" t="s">
        <v>78</v>
      </c>
      <c r="G39" s="62" t="s">
        <v>76</v>
      </c>
      <c r="H39" s="69" t="s">
        <v>80</v>
      </c>
      <c r="I39" s="92">
        <v>763</v>
      </c>
      <c r="J39" s="63">
        <v>817</v>
      </c>
      <c r="K39" s="63">
        <v>790</v>
      </c>
      <c r="L39" s="63">
        <v>594.5</v>
      </c>
      <c r="M39" s="63">
        <v>622</v>
      </c>
      <c r="N39" s="63">
        <v>549</v>
      </c>
      <c r="O39" s="63">
        <v>553</v>
      </c>
      <c r="P39" s="63">
        <v>480</v>
      </c>
      <c r="Q39" s="63">
        <v>520</v>
      </c>
      <c r="R39" s="85">
        <f t="shared" si="0"/>
        <v>790</v>
      </c>
      <c r="S39" s="86">
        <f t="shared" si="1"/>
        <v>608.25</v>
      </c>
      <c r="T39" s="86">
        <f t="shared" si="2"/>
        <v>551</v>
      </c>
      <c r="U39" s="86">
        <f t="shared" si="3"/>
        <v>500</v>
      </c>
      <c r="V39" s="91">
        <f t="shared" si="4"/>
        <v>632.05555555555554</v>
      </c>
      <c r="W39" s="85">
        <f t="shared" si="12"/>
        <v>27</v>
      </c>
      <c r="X39" s="86">
        <f t="shared" si="13"/>
        <v>19.445436482630058</v>
      </c>
      <c r="Y39" s="86">
        <f t="shared" si="14"/>
        <v>2.8284271247461903</v>
      </c>
      <c r="Z39" s="86">
        <f t="shared" si="15"/>
        <v>28.284271247461902</v>
      </c>
      <c r="AA39" s="86">
        <f t="shared" si="16"/>
        <v>19.38953371370954</v>
      </c>
      <c r="AB39" s="222">
        <f t="shared" si="17"/>
        <v>57.942388088743584</v>
      </c>
      <c r="AC39" s="223">
        <f t="shared" si="5"/>
        <v>55.587641503410339</v>
      </c>
      <c r="AD39" s="142">
        <v>0</v>
      </c>
      <c r="AE39" s="68">
        <f t="shared" si="6"/>
        <v>9</v>
      </c>
      <c r="AF39" s="35">
        <f t="shared" si="7"/>
        <v>10</v>
      </c>
      <c r="AG39" s="136">
        <f t="shared" si="8"/>
        <v>13</v>
      </c>
      <c r="AH39" s="127">
        <f t="shared" si="9"/>
        <v>3</v>
      </c>
      <c r="AI39" s="35">
        <f t="shared" si="10"/>
        <v>16</v>
      </c>
      <c r="AJ39" s="35">
        <f t="shared" si="11"/>
        <v>7</v>
      </c>
      <c r="AK39" s="99" t="s">
        <v>137</v>
      </c>
      <c r="AM39">
        <v>80</v>
      </c>
      <c r="AN39">
        <v>75</v>
      </c>
      <c r="AO39">
        <v>70</v>
      </c>
      <c r="AP39">
        <v>30</v>
      </c>
      <c r="AQ39">
        <v>40</v>
      </c>
      <c r="AR39">
        <v>10</v>
      </c>
      <c r="AS39">
        <v>10</v>
      </c>
      <c r="AT39">
        <v>5</v>
      </c>
      <c r="AU39">
        <v>2</v>
      </c>
    </row>
    <row r="40" spans="1:47" x14ac:dyDescent="0.3">
      <c r="A40" s="74">
        <v>14</v>
      </c>
      <c r="B40" s="74" t="s">
        <v>74</v>
      </c>
      <c r="C40" s="75" t="s">
        <v>45</v>
      </c>
      <c r="D40" s="75" t="s">
        <v>64</v>
      </c>
      <c r="E40" s="75" t="s">
        <v>49</v>
      </c>
      <c r="F40" s="75" t="s">
        <v>76</v>
      </c>
      <c r="G40" s="75" t="s">
        <v>78</v>
      </c>
      <c r="H40" s="76" t="s">
        <v>82</v>
      </c>
      <c r="I40" s="93">
        <v>825</v>
      </c>
      <c r="J40" s="77">
        <v>908</v>
      </c>
      <c r="K40" s="78">
        <v>1204</v>
      </c>
      <c r="L40" s="75">
        <v>1088</v>
      </c>
      <c r="M40" s="75">
        <v>1086</v>
      </c>
      <c r="N40" s="77">
        <v>614</v>
      </c>
      <c r="O40" s="77">
        <v>369</v>
      </c>
      <c r="P40" s="77">
        <v>325</v>
      </c>
      <c r="Q40" s="77">
        <v>340</v>
      </c>
      <c r="R40" s="87">
        <f t="shared" si="0"/>
        <v>979</v>
      </c>
      <c r="S40" s="88">
        <f t="shared" si="1"/>
        <v>1087</v>
      </c>
      <c r="T40" s="88">
        <f t="shared" si="2"/>
        <v>491.5</v>
      </c>
      <c r="U40" s="88">
        <f t="shared" si="3"/>
        <v>332.5</v>
      </c>
      <c r="V40" s="89">
        <f t="shared" si="4"/>
        <v>751</v>
      </c>
      <c r="W40" s="87">
        <f t="shared" si="12"/>
        <v>199.22600231897442</v>
      </c>
      <c r="X40" s="88">
        <f t="shared" si="13"/>
        <v>1.4142135623730951</v>
      </c>
      <c r="Y40" s="88">
        <f t="shared" si="14"/>
        <v>173.24116139070415</v>
      </c>
      <c r="Z40" s="88">
        <f t="shared" si="15"/>
        <v>10.606601717798213</v>
      </c>
      <c r="AA40" s="88">
        <f t="shared" si="16"/>
        <v>96.12199474746248</v>
      </c>
      <c r="AB40" s="224">
        <f t="shared" si="17"/>
        <v>59.49235629835858</v>
      </c>
      <c r="AC40" s="225">
        <f t="shared" si="5"/>
        <v>54.33373675155017</v>
      </c>
      <c r="AD40" s="143">
        <v>0.33333333333333331</v>
      </c>
      <c r="AE40" s="74">
        <f t="shared" si="6"/>
        <v>7</v>
      </c>
      <c r="AF40" s="124">
        <f t="shared" si="7"/>
        <v>6</v>
      </c>
      <c r="AG40" s="104">
        <f t="shared" si="8"/>
        <v>1</v>
      </c>
      <c r="AH40" s="103">
        <f t="shared" si="9"/>
        <v>17</v>
      </c>
      <c r="AI40" s="124">
        <f t="shared" si="10"/>
        <v>9</v>
      </c>
      <c r="AJ40" s="124">
        <f t="shared" si="11"/>
        <v>14</v>
      </c>
      <c r="AK40" s="99"/>
      <c r="AM40">
        <v>40</v>
      </c>
      <c r="AN40">
        <v>50</v>
      </c>
      <c r="AO40">
        <v>30</v>
      </c>
      <c r="AP40">
        <v>10</v>
      </c>
      <c r="AQ40">
        <v>10</v>
      </c>
      <c r="AR40">
        <v>10</v>
      </c>
      <c r="AS40">
        <v>6</v>
      </c>
      <c r="AT40">
        <v>5</v>
      </c>
      <c r="AU40">
        <v>2</v>
      </c>
    </row>
    <row r="41" spans="1:47" x14ac:dyDescent="0.3">
      <c r="A41" s="68">
        <v>15</v>
      </c>
      <c r="B41" s="68" t="s">
        <v>74</v>
      </c>
      <c r="C41" s="62" t="s">
        <v>45</v>
      </c>
      <c r="D41" s="62" t="s">
        <v>66</v>
      </c>
      <c r="E41" s="62" t="s">
        <v>51</v>
      </c>
      <c r="F41" s="62" t="s">
        <v>78</v>
      </c>
      <c r="G41" s="62" t="s">
        <v>78</v>
      </c>
      <c r="H41" s="69" t="s">
        <v>82</v>
      </c>
      <c r="I41" s="68">
        <v>945</v>
      </c>
      <c r="J41" s="64">
        <v>1046</v>
      </c>
      <c r="K41" s="63">
        <v>983</v>
      </c>
      <c r="L41" s="62">
        <v>975</v>
      </c>
      <c r="M41" s="62">
        <v>1004</v>
      </c>
      <c r="N41" s="63">
        <v>635</v>
      </c>
      <c r="O41" s="63">
        <v>603.5</v>
      </c>
      <c r="P41" s="63">
        <v>491</v>
      </c>
      <c r="Q41" s="63">
        <v>560</v>
      </c>
      <c r="R41" s="85">
        <f t="shared" si="0"/>
        <v>991.33333333333337</v>
      </c>
      <c r="S41" s="86">
        <f t="shared" si="1"/>
        <v>989.5</v>
      </c>
      <c r="T41" s="86">
        <f t="shared" si="2"/>
        <v>619.25</v>
      </c>
      <c r="U41" s="86">
        <f t="shared" si="3"/>
        <v>525.5</v>
      </c>
      <c r="V41" s="91">
        <f t="shared" si="4"/>
        <v>804.72222222222217</v>
      </c>
      <c r="W41" s="85">
        <f t="shared" si="12"/>
        <v>51.013070220614381</v>
      </c>
      <c r="X41" s="86">
        <f t="shared" si="13"/>
        <v>20.506096654409877</v>
      </c>
      <c r="Y41" s="86">
        <f t="shared" si="14"/>
        <v>22.273863607376246</v>
      </c>
      <c r="Z41" s="86">
        <f t="shared" si="15"/>
        <v>48.790367901871782</v>
      </c>
      <c r="AA41" s="86">
        <f t="shared" si="16"/>
        <v>35.645849596068068</v>
      </c>
      <c r="AB41" s="222">
        <f t="shared" si="17"/>
        <v>59.901729878618546</v>
      </c>
      <c r="AC41" s="223">
        <f t="shared" si="5"/>
        <v>57.068816284107164</v>
      </c>
      <c r="AD41" s="142">
        <v>0.44444444444444442</v>
      </c>
      <c r="AE41" s="68">
        <f t="shared" si="6"/>
        <v>6</v>
      </c>
      <c r="AF41" s="111">
        <f t="shared" si="7"/>
        <v>2</v>
      </c>
      <c r="AG41" s="136">
        <f t="shared" si="8"/>
        <v>9</v>
      </c>
      <c r="AH41" s="127">
        <f t="shared" si="9"/>
        <v>9</v>
      </c>
      <c r="AI41" s="35">
        <f t="shared" si="10"/>
        <v>8</v>
      </c>
      <c r="AJ41" s="111">
        <f t="shared" si="11"/>
        <v>2</v>
      </c>
      <c r="AK41" s="99"/>
      <c r="AM41">
        <v>40</v>
      </c>
      <c r="AN41">
        <v>20</v>
      </c>
      <c r="AO41">
        <v>20</v>
      </c>
      <c r="AP41">
        <v>20</v>
      </c>
      <c r="AQ41">
        <v>15</v>
      </c>
      <c r="AR41">
        <v>10</v>
      </c>
      <c r="AS41">
        <v>6</v>
      </c>
      <c r="AT41">
        <v>5</v>
      </c>
      <c r="AU41">
        <v>2</v>
      </c>
    </row>
    <row r="42" spans="1:47" ht="16.8" thickBot="1" x14ac:dyDescent="0.35">
      <c r="A42" s="79">
        <v>16</v>
      </c>
      <c r="B42" s="79" t="s">
        <v>74</v>
      </c>
      <c r="C42" s="80" t="s">
        <v>45</v>
      </c>
      <c r="D42" s="80" t="s">
        <v>66</v>
      </c>
      <c r="E42" s="80" t="s">
        <v>49</v>
      </c>
      <c r="F42" s="80" t="s">
        <v>76</v>
      </c>
      <c r="G42" s="80" t="s">
        <v>76</v>
      </c>
      <c r="H42" s="81" t="s">
        <v>80</v>
      </c>
      <c r="I42" s="79">
        <v>1328</v>
      </c>
      <c r="J42" s="80">
        <v>1207</v>
      </c>
      <c r="K42" s="80">
        <v>1074</v>
      </c>
      <c r="L42" s="94">
        <v>745</v>
      </c>
      <c r="M42" s="94">
        <v>746</v>
      </c>
      <c r="N42" s="94">
        <v>554</v>
      </c>
      <c r="O42" s="94">
        <v>562</v>
      </c>
      <c r="P42" s="94">
        <v>505</v>
      </c>
      <c r="Q42" s="94">
        <v>396</v>
      </c>
      <c r="R42" s="95">
        <f t="shared" si="0"/>
        <v>1203</v>
      </c>
      <c r="S42" s="96">
        <f t="shared" si="1"/>
        <v>745.5</v>
      </c>
      <c r="T42" s="96">
        <f t="shared" si="2"/>
        <v>558</v>
      </c>
      <c r="U42" s="96">
        <f t="shared" si="3"/>
        <v>450.5</v>
      </c>
      <c r="V42" s="97">
        <f t="shared" si="4"/>
        <v>790.77777777777783</v>
      </c>
      <c r="W42" s="95">
        <f t="shared" si="12"/>
        <v>127.04723531033645</v>
      </c>
      <c r="X42" s="96">
        <f t="shared" si="13"/>
        <v>0.70710678118654757</v>
      </c>
      <c r="Y42" s="96">
        <f t="shared" si="14"/>
        <v>5.6568542494923806</v>
      </c>
      <c r="Z42" s="96">
        <f t="shared" si="15"/>
        <v>77.074639149333677</v>
      </c>
      <c r="AA42" s="96">
        <f t="shared" si="16"/>
        <v>52.621458872587262</v>
      </c>
      <c r="AB42" s="226">
        <f t="shared" si="17"/>
        <v>61.507065593537959</v>
      </c>
      <c r="AC42" s="227">
        <f t="shared" si="5"/>
        <v>56.031920977410827</v>
      </c>
      <c r="AD42" s="144">
        <v>0.33333333333333331</v>
      </c>
      <c r="AE42" s="158">
        <f t="shared" si="6"/>
        <v>2</v>
      </c>
      <c r="AF42" s="155">
        <f t="shared" si="7"/>
        <v>4</v>
      </c>
      <c r="AG42" s="137">
        <f t="shared" si="8"/>
        <v>4</v>
      </c>
      <c r="AH42" s="128">
        <f t="shared" si="9"/>
        <v>13</v>
      </c>
      <c r="AI42" s="129">
        <f t="shared" si="10"/>
        <v>9</v>
      </c>
      <c r="AJ42" s="129">
        <f t="shared" si="11"/>
        <v>4</v>
      </c>
      <c r="AK42" s="100"/>
      <c r="AM42">
        <v>30</v>
      </c>
      <c r="AN42">
        <v>30</v>
      </c>
      <c r="AO42">
        <v>20</v>
      </c>
      <c r="AP42">
        <v>20</v>
      </c>
      <c r="AQ42">
        <v>10</v>
      </c>
      <c r="AR42">
        <v>5</v>
      </c>
      <c r="AS42">
        <v>10</v>
      </c>
      <c r="AT42">
        <v>5</v>
      </c>
      <c r="AU42">
        <v>2</v>
      </c>
    </row>
    <row r="43" spans="1:47" ht="16.8" thickBot="1" x14ac:dyDescent="0.35">
      <c r="A43" s="43" t="s">
        <v>239</v>
      </c>
      <c r="B43" s="39" t="s">
        <v>74</v>
      </c>
      <c r="C43" s="40" t="s">
        <v>45</v>
      </c>
      <c r="D43" s="40" t="s">
        <v>66</v>
      </c>
      <c r="E43" s="40" t="s">
        <v>51</v>
      </c>
      <c r="F43" s="40" t="s">
        <v>76</v>
      </c>
      <c r="G43" s="40" t="s">
        <v>76</v>
      </c>
      <c r="H43" s="41" t="s">
        <v>80</v>
      </c>
      <c r="I43" s="39">
        <v>1127</v>
      </c>
      <c r="J43" s="40">
        <v>1298</v>
      </c>
      <c r="K43" s="55">
        <v>1016</v>
      </c>
      <c r="L43" s="55">
        <v>809</v>
      </c>
      <c r="M43" s="55">
        <v>744</v>
      </c>
      <c r="N43" s="55">
        <v>628</v>
      </c>
      <c r="O43" s="55">
        <v>549</v>
      </c>
      <c r="P43" s="55">
        <v>514</v>
      </c>
      <c r="Q43" s="56">
        <v>475</v>
      </c>
      <c r="R43" s="95">
        <f>AVERAGE(I43,J43,K43)</f>
        <v>1147</v>
      </c>
      <c r="S43" s="96">
        <f>AVERAGE(L43,M43)</f>
        <v>776.5</v>
      </c>
      <c r="T43" s="96">
        <f>AVERAGE(N43,O43)</f>
        <v>588.5</v>
      </c>
      <c r="U43" s="96">
        <f>AVERAGE(P43,Q43)</f>
        <v>494.5</v>
      </c>
      <c r="V43" s="97">
        <f>AVERAGE(I43:Q43)</f>
        <v>795.55555555555554</v>
      </c>
      <c r="W43" s="95">
        <f>_xlfn.STDEV.S(I43,J43,K43)</f>
        <v>142.05984654363104</v>
      </c>
      <c r="X43" s="96">
        <f>_xlfn.STDEV.S(L43,M43)</f>
        <v>45.961940777125591</v>
      </c>
      <c r="Y43" s="96">
        <f>_xlfn.STDEV.S(N43,O43)</f>
        <v>55.861435713737258</v>
      </c>
      <c r="Z43" s="96">
        <f>_xlfn.STDEV.S(P43,Q43)</f>
        <v>27.577164466275352</v>
      </c>
      <c r="AA43" s="96">
        <f t="shared" si="16"/>
        <v>67.865096875192307</v>
      </c>
      <c r="AB43" s="228">
        <f t="shared" si="17"/>
        <v>61.061246611569935</v>
      </c>
      <c r="AC43" s="229">
        <f t="shared" si="5"/>
        <v>56.585709641539665</v>
      </c>
      <c r="AD43" s="144">
        <v>0.22222222222222199</v>
      </c>
      <c r="AE43" s="130">
        <f t="shared" si="6"/>
        <v>3</v>
      </c>
      <c r="AF43" s="156">
        <f t="shared" si="7"/>
        <v>3</v>
      </c>
      <c r="AG43" s="138">
        <f t="shared" si="8"/>
        <v>3</v>
      </c>
      <c r="AH43" s="131">
        <f t="shared" si="9"/>
        <v>16</v>
      </c>
      <c r="AI43" s="40">
        <f t="shared" si="10"/>
        <v>15</v>
      </c>
      <c r="AJ43" s="112">
        <f t="shared" si="11"/>
        <v>3</v>
      </c>
      <c r="AM43">
        <v>20</v>
      </c>
      <c r="AN43">
        <v>15</v>
      </c>
      <c r="AO43">
        <v>40</v>
      </c>
      <c r="AP43">
        <v>20</v>
      </c>
      <c r="AQ43">
        <v>40</v>
      </c>
      <c r="AR43">
        <v>20</v>
      </c>
      <c r="AS43">
        <v>40</v>
      </c>
      <c r="AT43">
        <v>25</v>
      </c>
      <c r="AU43">
        <v>15</v>
      </c>
    </row>
    <row r="44" spans="1:47" hidden="1" x14ac:dyDescent="0.3"/>
    <row r="45" spans="1:47" hidden="1" x14ac:dyDescent="0.3"/>
    <row r="46" spans="1:47" hidden="1" x14ac:dyDescent="0.3"/>
    <row r="47" spans="1:47" ht="25.2" hidden="1" thickBot="1" x14ac:dyDescent="0.35">
      <c r="A47" s="299" t="s">
        <v>204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spans="1:47" ht="81.599999999999994" hidden="1" customHeight="1" thickBot="1" x14ac:dyDescent="0.35">
      <c r="A48" s="43" t="s">
        <v>43</v>
      </c>
      <c r="B48" s="351" t="s">
        <v>20</v>
      </c>
      <c r="C48" s="352"/>
      <c r="D48" s="353"/>
      <c r="E48" s="351" t="s">
        <v>143</v>
      </c>
      <c r="F48" s="352"/>
      <c r="G48" s="352"/>
      <c r="H48" s="352"/>
      <c r="I48" s="352"/>
      <c r="J48" s="352"/>
      <c r="K48" s="352"/>
      <c r="L48" s="352"/>
      <c r="M48" s="353"/>
      <c r="N48" s="351" t="s">
        <v>139</v>
      </c>
      <c r="O48" s="352"/>
      <c r="P48" s="352"/>
      <c r="Q48" s="352"/>
      <c r="R48" s="353"/>
      <c r="S48" s="348" t="s">
        <v>140</v>
      </c>
      <c r="T48" s="349"/>
      <c r="U48" s="349"/>
      <c r="V48" s="349"/>
      <c r="W48" s="350"/>
      <c r="X48" s="351" t="s">
        <v>141</v>
      </c>
      <c r="Y48" s="352"/>
      <c r="Z48" s="351" t="s">
        <v>138</v>
      </c>
      <c r="AA48" s="352"/>
      <c r="AB48" s="352"/>
      <c r="AC48" s="352"/>
      <c r="AD48" s="353"/>
      <c r="AE48" s="70"/>
      <c r="AG48" s="70"/>
    </row>
    <row r="49" spans="1:47" ht="48.6" hidden="1" customHeight="1" x14ac:dyDescent="0.3">
      <c r="A49" s="355" t="s">
        <v>8</v>
      </c>
      <c r="B49" s="44" t="s">
        <v>132</v>
      </c>
      <c r="C49" s="45" t="s">
        <v>134</v>
      </c>
      <c r="D49" s="46" t="s">
        <v>133</v>
      </c>
      <c r="E49" s="331" t="s">
        <v>30</v>
      </c>
      <c r="F49" s="333"/>
      <c r="G49" s="333"/>
      <c r="H49" s="333" t="s">
        <v>32</v>
      </c>
      <c r="I49" s="333"/>
      <c r="J49" s="333" t="s">
        <v>60</v>
      </c>
      <c r="K49" s="333"/>
      <c r="L49" s="333" t="s">
        <v>35</v>
      </c>
      <c r="M49" s="338"/>
      <c r="N49" s="331" t="s">
        <v>30</v>
      </c>
      <c r="O49" s="333" t="s">
        <v>32</v>
      </c>
      <c r="P49" s="333" t="s">
        <v>60</v>
      </c>
      <c r="Q49" s="333" t="s">
        <v>36</v>
      </c>
      <c r="R49" s="338" t="s">
        <v>91</v>
      </c>
      <c r="S49" s="331" t="s">
        <v>30</v>
      </c>
      <c r="T49" s="333" t="s">
        <v>32</v>
      </c>
      <c r="U49" s="333" t="s">
        <v>60</v>
      </c>
      <c r="V49" s="333" t="s">
        <v>36</v>
      </c>
      <c r="W49" s="338" t="s">
        <v>94</v>
      </c>
      <c r="X49" s="342" t="s">
        <v>31</v>
      </c>
      <c r="Y49" s="338" t="s">
        <v>125</v>
      </c>
      <c r="Z49" s="331" t="s">
        <v>126</v>
      </c>
      <c r="AA49" s="333" t="s">
        <v>135</v>
      </c>
      <c r="AB49" s="333" t="s">
        <v>127</v>
      </c>
      <c r="AC49" s="333" t="s">
        <v>94</v>
      </c>
      <c r="AD49" s="344" t="s">
        <v>108</v>
      </c>
      <c r="AE49" s="70"/>
    </row>
    <row r="50" spans="1:47" ht="16.8" hidden="1" thickBot="1" x14ac:dyDescent="0.35">
      <c r="A50" s="357"/>
      <c r="B50" s="66">
        <v>1</v>
      </c>
      <c r="C50" s="65">
        <v>2</v>
      </c>
      <c r="D50" s="67">
        <v>3</v>
      </c>
      <c r="E50" s="66" t="s">
        <v>55</v>
      </c>
      <c r="F50" s="65" t="s">
        <v>56</v>
      </c>
      <c r="G50" s="65" t="s">
        <v>24</v>
      </c>
      <c r="H50" s="65" t="s">
        <v>25</v>
      </c>
      <c r="I50" s="65" t="s">
        <v>26</v>
      </c>
      <c r="J50" s="65" t="s">
        <v>57</v>
      </c>
      <c r="K50" s="65" t="s">
        <v>58</v>
      </c>
      <c r="L50" s="65" t="s">
        <v>59</v>
      </c>
      <c r="M50" s="65" t="s">
        <v>89</v>
      </c>
      <c r="N50" s="359"/>
      <c r="O50" s="337"/>
      <c r="P50" s="337"/>
      <c r="Q50" s="337"/>
      <c r="R50" s="358"/>
      <c r="S50" s="359"/>
      <c r="T50" s="337"/>
      <c r="U50" s="337"/>
      <c r="V50" s="337"/>
      <c r="W50" s="358"/>
      <c r="X50" s="360"/>
      <c r="Y50" s="358"/>
      <c r="Z50" s="359"/>
      <c r="AA50" s="337"/>
      <c r="AB50" s="337"/>
      <c r="AC50" s="337"/>
      <c r="AD50" s="361"/>
      <c r="AE50" s="70"/>
    </row>
    <row r="51" spans="1:47" hidden="1" x14ac:dyDescent="0.3">
      <c r="A51" s="141">
        <v>18</v>
      </c>
      <c r="B51" s="36" t="s">
        <v>128</v>
      </c>
      <c r="C51" s="37" t="s">
        <v>129</v>
      </c>
      <c r="D51" s="38" t="s">
        <v>129</v>
      </c>
      <c r="E51" s="37">
        <v>1048</v>
      </c>
      <c r="F51" s="37">
        <v>1072</v>
      </c>
      <c r="G51" s="37">
        <v>1018</v>
      </c>
      <c r="H51" s="37">
        <v>808</v>
      </c>
      <c r="I51" s="146">
        <v>804</v>
      </c>
      <c r="J51" s="37">
        <v>732</v>
      </c>
      <c r="K51" s="37">
        <v>733</v>
      </c>
      <c r="L51" s="37">
        <v>660</v>
      </c>
      <c r="M51" s="37">
        <v>682</v>
      </c>
      <c r="N51" s="208">
        <f>AVERAGE(E51,F51,G51)</f>
        <v>1046</v>
      </c>
      <c r="O51" s="209">
        <f>AVERAGE(H51,I51)</f>
        <v>806</v>
      </c>
      <c r="P51" s="209">
        <f>AVERAGE(J51,K51)</f>
        <v>732.5</v>
      </c>
      <c r="Q51" s="209">
        <f>AVERAGE(L51,M51)</f>
        <v>671</v>
      </c>
      <c r="R51" s="209">
        <f>AVERAGE(E51:M51)</f>
        <v>839.66666666666663</v>
      </c>
      <c r="S51" s="208">
        <f>_xlfn.STDEV.S(E51,F51,G51)</f>
        <v>27.055498516937366</v>
      </c>
      <c r="T51" s="209">
        <f>_xlfn.STDEV.S(H51,I51)</f>
        <v>2.8284271247461903</v>
      </c>
      <c r="U51" s="209">
        <f>_xlfn.STDEV.S(J51,K51)</f>
        <v>0.70710678118654757</v>
      </c>
      <c r="V51" s="209">
        <f>_xlfn.STDEV.S(L51,M51)</f>
        <v>15.556349186104045</v>
      </c>
      <c r="W51" s="210">
        <f>AVERAGE(S51:V51)</f>
        <v>11.536845402243538</v>
      </c>
      <c r="X51" s="203">
        <f>-10*LOG10(1/3*((1/$E51)^2+(1/$F51)^2+(1/$G51)^2))</f>
        <v>60.384797840427268</v>
      </c>
      <c r="Y51" s="203">
        <f>-10*LOG10(1/9*((1/$E51)^2+(1/$F51)^2+(1/$G51)^2+(1/$H51)^2+(1/$I51)^2+(1/$J51)^2+(1/$K51)^2+(1/$L51)^2+(1/$M51)^2))</f>
        <v>58.08193299495813</v>
      </c>
      <c r="Z51" s="200">
        <f>RANK(N51,N$51:N$55)</f>
        <v>3</v>
      </c>
      <c r="AA51" s="198">
        <f>RANK(R51,R$51:R$55)</f>
        <v>2</v>
      </c>
      <c r="AB51" s="201">
        <f>RANK(S51,S$51:S$55,1)</f>
        <v>3</v>
      </c>
      <c r="AC51" s="201">
        <f>RANK(W51,W$51:W$55,1)</f>
        <v>1</v>
      </c>
      <c r="AD51" s="199">
        <f>RANK(Y51,Y$51:Y$55)</f>
        <v>2</v>
      </c>
      <c r="AM51" s="42">
        <v>60</v>
      </c>
      <c r="AN51" s="42">
        <v>70</v>
      </c>
      <c r="AO51" s="42">
        <v>50</v>
      </c>
      <c r="AP51" s="42">
        <v>40</v>
      </c>
      <c r="AQ51" s="42">
        <v>30</v>
      </c>
      <c r="AR51" s="42">
        <v>20</v>
      </c>
      <c r="AS51" s="42">
        <v>20</v>
      </c>
      <c r="AT51" s="42">
        <v>10</v>
      </c>
      <c r="AU51" s="42">
        <v>10</v>
      </c>
    </row>
    <row r="52" spans="1:47" hidden="1" x14ac:dyDescent="0.3">
      <c r="A52" s="147">
        <v>19</v>
      </c>
      <c r="B52" s="90" t="s">
        <v>128</v>
      </c>
      <c r="C52" s="124" t="s">
        <v>130</v>
      </c>
      <c r="D52" s="148" t="s">
        <v>130</v>
      </c>
      <c r="E52" s="149">
        <v>828</v>
      </c>
      <c r="F52" s="149">
        <v>854</v>
      </c>
      <c r="G52" s="124">
        <v>840</v>
      </c>
      <c r="H52" s="124">
        <v>673</v>
      </c>
      <c r="I52" s="124">
        <v>683</v>
      </c>
      <c r="J52" s="124">
        <v>617</v>
      </c>
      <c r="K52" s="124">
        <v>650</v>
      </c>
      <c r="L52" s="124">
        <v>606</v>
      </c>
      <c r="M52" s="124">
        <v>552</v>
      </c>
      <c r="N52" s="211">
        <f>AVERAGE(E52,F52,G52)</f>
        <v>840.66666666666663</v>
      </c>
      <c r="O52" s="197">
        <f>AVERAGE(H52,I52)</f>
        <v>678</v>
      </c>
      <c r="P52" s="197">
        <f>AVERAGE(J52,K52)</f>
        <v>633.5</v>
      </c>
      <c r="Q52" s="197">
        <f>AVERAGE(L52,M52)</f>
        <v>579</v>
      </c>
      <c r="R52" s="197">
        <f>AVERAGE(E52:M52)</f>
        <v>700.33333333333337</v>
      </c>
      <c r="S52" s="211">
        <f>_xlfn.STDEV.S(E52,F52,G52)</f>
        <v>13.012814197295423</v>
      </c>
      <c r="T52" s="197">
        <f>_xlfn.STDEV.S(H52,I52)</f>
        <v>7.0710678118654755</v>
      </c>
      <c r="U52" s="197">
        <f>_xlfn.STDEV.S(J52,K52)</f>
        <v>23.334523779156068</v>
      </c>
      <c r="V52" s="197">
        <f>_xlfn.STDEV.S(L52,M52)</f>
        <v>38.183766184073569</v>
      </c>
      <c r="W52" s="212">
        <f>AVERAGE(S52:V52)</f>
        <v>20.400542993097634</v>
      </c>
      <c r="X52" s="186">
        <f>-10*LOG10(1/3*((1/$E52)^2+(1/$F52)^2+(1/$G52)^2))</f>
        <v>58.490398332996193</v>
      </c>
      <c r="Y52" s="186">
        <f>-10*LOG10(1/9*((1/$E52)^2+(1/$F52)^2+(1/$G52)^2+(1/$H52)^2+(1/$I52)^2+(1/$J52)^2+(1/$K52)^2+(1/$L52)^2+(1/$M52)^2))</f>
        <v>56.620503731660662</v>
      </c>
      <c r="Z52" s="52">
        <f>RANK(N52,N$51:N$55)</f>
        <v>5</v>
      </c>
      <c r="AA52" s="35">
        <f>RANK(R52,R$51:R$55)</f>
        <v>5</v>
      </c>
      <c r="AB52" s="111">
        <f>RANK(S52,S$51:S$55,1)</f>
        <v>1</v>
      </c>
      <c r="AC52" s="111">
        <f>RANK(W52,W$51:W$55,1)</f>
        <v>2</v>
      </c>
      <c r="AD52" s="50">
        <f>RANK(Y52,Y$51:Y$55)</f>
        <v>5</v>
      </c>
      <c r="AM52" s="42">
        <v>100</v>
      </c>
      <c r="AN52" s="42">
        <v>120</v>
      </c>
      <c r="AO52" s="42">
        <v>80</v>
      </c>
      <c r="AP52" s="42">
        <v>70</v>
      </c>
      <c r="AQ52" s="42">
        <v>50</v>
      </c>
      <c r="AR52" s="42">
        <v>50</v>
      </c>
      <c r="AS52" s="42">
        <v>30</v>
      </c>
      <c r="AT52" s="42">
        <v>20</v>
      </c>
      <c r="AU52" s="42">
        <v>20</v>
      </c>
    </row>
    <row r="53" spans="1:47" hidden="1" x14ac:dyDescent="0.3">
      <c r="A53" s="51">
        <v>20</v>
      </c>
      <c r="B53" s="52" t="s">
        <v>131</v>
      </c>
      <c r="C53" s="35" t="s">
        <v>129</v>
      </c>
      <c r="D53" s="50" t="s">
        <v>130</v>
      </c>
      <c r="E53" s="35">
        <v>1188.5</v>
      </c>
      <c r="F53" s="35">
        <v>1140</v>
      </c>
      <c r="G53" s="35">
        <v>1012</v>
      </c>
      <c r="H53" s="54">
        <v>783</v>
      </c>
      <c r="I53" s="35">
        <v>793</v>
      </c>
      <c r="J53" s="35">
        <v>719</v>
      </c>
      <c r="K53" s="35">
        <v>716</v>
      </c>
      <c r="L53" s="35">
        <v>601</v>
      </c>
      <c r="M53" s="35">
        <v>600</v>
      </c>
      <c r="N53" s="213">
        <f>AVERAGE(E53,F53,G53)</f>
        <v>1113.5</v>
      </c>
      <c r="O53" s="214">
        <f>AVERAGE(H53,I53)</f>
        <v>788</v>
      </c>
      <c r="P53" s="214">
        <f>AVERAGE(J53,K53)</f>
        <v>717.5</v>
      </c>
      <c r="Q53" s="214">
        <f>AVERAGE(L53,M53)</f>
        <v>600.5</v>
      </c>
      <c r="R53" s="214">
        <f>AVERAGE(E53:M53)</f>
        <v>839.16666666666663</v>
      </c>
      <c r="S53" s="213">
        <f>_xlfn.STDEV.S(E53,F53,G53)</f>
        <v>91.185251000367373</v>
      </c>
      <c r="T53" s="214">
        <f>_xlfn.STDEV.S(H53,I53)</f>
        <v>7.0710678118654755</v>
      </c>
      <c r="U53" s="214">
        <f>_xlfn.STDEV.S(J53,K53)</f>
        <v>2.1213203435596424</v>
      </c>
      <c r="V53" s="214">
        <f>_xlfn.STDEV.S(L53,M53)</f>
        <v>0.70710678118654757</v>
      </c>
      <c r="W53" s="215">
        <f>AVERAGE(S53:V53)</f>
        <v>25.271186484244762</v>
      </c>
      <c r="X53" s="204">
        <f>-10*LOG10(1/3*((1/$E53)^2+(1/$F53)^2+(1/$G53)^2))</f>
        <v>60.872748083966158</v>
      </c>
      <c r="Y53" s="204">
        <f>-10*LOG10(1/9*((1/$E53)^2+(1/$F53)^2+(1/$G53)^2+(1/$H53)^2+(1/$I53)^2+(1/$J53)^2+(1/$K53)^2+(1/$L53)^2+(1/$M53)^2))</f>
        <v>57.750798148684986</v>
      </c>
      <c r="Z53" s="202">
        <f>RANK(N53,N$51:N$55)</f>
        <v>1</v>
      </c>
      <c r="AA53" s="124">
        <f>RANK(R53,R$51:R$55)</f>
        <v>3</v>
      </c>
      <c r="AB53" s="124">
        <f>RANK(S53,S$51:S$55,1)</f>
        <v>4</v>
      </c>
      <c r="AC53" s="124">
        <f>RANK(W53,W$51:W$55,1)</f>
        <v>4</v>
      </c>
      <c r="AD53" s="148">
        <f>RANK(Y53,Y$51:Y$55)</f>
        <v>3</v>
      </c>
      <c r="AM53" s="42">
        <v>70</v>
      </c>
      <c r="AN53" s="42">
        <v>80</v>
      </c>
      <c r="AO53" s="42">
        <v>80</v>
      </c>
      <c r="AP53" s="42">
        <v>100</v>
      </c>
      <c r="AQ53" s="42">
        <v>50</v>
      </c>
      <c r="AR53" s="42">
        <v>40</v>
      </c>
      <c r="AS53" s="42">
        <v>30</v>
      </c>
      <c r="AT53" s="42">
        <v>10</v>
      </c>
      <c r="AU53" s="42">
        <v>10</v>
      </c>
    </row>
    <row r="54" spans="1:47" ht="16.8" hidden="1" thickBot="1" x14ac:dyDescent="0.35">
      <c r="A54" s="150">
        <v>21</v>
      </c>
      <c r="B54" s="151" t="s">
        <v>131</v>
      </c>
      <c r="C54" s="152" t="s">
        <v>130</v>
      </c>
      <c r="D54" s="153" t="s">
        <v>129</v>
      </c>
      <c r="E54" s="152">
        <v>1033</v>
      </c>
      <c r="F54" s="152">
        <v>991.5</v>
      </c>
      <c r="G54" s="154">
        <v>989.5</v>
      </c>
      <c r="H54" s="152">
        <v>720</v>
      </c>
      <c r="I54" s="152">
        <v>704</v>
      </c>
      <c r="J54" s="152">
        <v>600</v>
      </c>
      <c r="K54" s="152">
        <v>671</v>
      </c>
      <c r="L54" s="152">
        <v>609</v>
      </c>
      <c r="M54" s="152">
        <v>611</v>
      </c>
      <c r="N54" s="216">
        <f>AVERAGE(E54,F54,G54)</f>
        <v>1004.6666666666666</v>
      </c>
      <c r="O54" s="217">
        <f>AVERAGE(H54,I54)</f>
        <v>712</v>
      </c>
      <c r="P54" s="217">
        <f>AVERAGE(J54,K54)</f>
        <v>635.5</v>
      </c>
      <c r="Q54" s="217">
        <f>AVERAGE(L54,M54)</f>
        <v>610</v>
      </c>
      <c r="R54" s="217">
        <f>AVERAGE(E54:M54)</f>
        <v>769.88888888888891</v>
      </c>
      <c r="S54" s="216">
        <f>_xlfn.STDEV.S(E54,F54,G54)</f>
        <v>24.55775505483621</v>
      </c>
      <c r="T54" s="217">
        <f>_xlfn.STDEV.S(H54,I54)</f>
        <v>11.313708498984761</v>
      </c>
      <c r="U54" s="217">
        <f>_xlfn.STDEV.S(J54,K54)</f>
        <v>50.204581464244875</v>
      </c>
      <c r="V54" s="217">
        <f>_xlfn.STDEV.S(L54,M54)</f>
        <v>1.4142135623730951</v>
      </c>
      <c r="W54" s="218">
        <f>AVERAGE(S54:V54)</f>
        <v>21.872564645109737</v>
      </c>
      <c r="X54" s="205">
        <f>-10*LOG10(1/3*((1/$E54)^2+(1/$F54)^2+(1/$G54)^2))</f>
        <v>60.035344988353359</v>
      </c>
      <c r="Y54" s="205">
        <f>-10*LOG10(1/9*((1/$E54)^2+(1/$F54)^2+(1/$G54)^2+(1/$H54)^2+(1/$I54)^2+(1/$J54)^2+(1/$K54)^2+(1/$L54)^2+(1/$M54)^2))</f>
        <v>57.162933134788815</v>
      </c>
      <c r="Z54" s="47">
        <f>RANK(N54,N$51:N$55)</f>
        <v>4</v>
      </c>
      <c r="AA54" s="48">
        <f>RANK(R54,R$51:R$55)</f>
        <v>4</v>
      </c>
      <c r="AB54" s="48">
        <f>RANK(S54,S$51:S$55,1)</f>
        <v>2</v>
      </c>
      <c r="AC54" s="48">
        <f>RANK(W54,W$51:W$55,1)</f>
        <v>3</v>
      </c>
      <c r="AD54" s="49">
        <f>RANK(Y54,Y$51:Y$55)</f>
        <v>4</v>
      </c>
      <c r="AM54" s="42">
        <v>70</v>
      </c>
      <c r="AN54" s="42">
        <v>70</v>
      </c>
      <c r="AO54" s="42">
        <v>100</v>
      </c>
      <c r="AP54" s="42">
        <v>70</v>
      </c>
      <c r="AQ54" s="42">
        <v>50</v>
      </c>
      <c r="AR54" s="42">
        <v>30</v>
      </c>
      <c r="AS54" s="42">
        <v>20</v>
      </c>
      <c r="AT54" s="42">
        <v>10</v>
      </c>
      <c r="AU54" s="42">
        <v>10</v>
      </c>
    </row>
    <row r="55" spans="1:47" ht="16.8" hidden="1" thickBot="1" x14ac:dyDescent="0.35">
      <c r="A55" s="39" t="s">
        <v>240</v>
      </c>
      <c r="B55" s="39" t="s">
        <v>4</v>
      </c>
      <c r="C55" s="40" t="s">
        <v>6</v>
      </c>
      <c r="D55" s="41" t="s">
        <v>6</v>
      </c>
      <c r="E55" s="39">
        <v>975</v>
      </c>
      <c r="F55" s="40">
        <v>1186</v>
      </c>
      <c r="G55" s="40">
        <v>1032</v>
      </c>
      <c r="H55" s="40">
        <v>857</v>
      </c>
      <c r="I55" s="40">
        <v>860</v>
      </c>
      <c r="J55" s="40">
        <v>740</v>
      </c>
      <c r="K55" s="40">
        <v>764</v>
      </c>
      <c r="L55" s="40">
        <v>706</v>
      </c>
      <c r="M55" s="41">
        <v>717</v>
      </c>
      <c r="N55" s="219">
        <f>AVERAGE(E55,F55,G55)</f>
        <v>1064.3333333333333</v>
      </c>
      <c r="O55" s="219">
        <f>AVERAGE(H55,I55)</f>
        <v>858.5</v>
      </c>
      <c r="P55" s="219">
        <f>AVERAGE(J55,K55)</f>
        <v>752</v>
      </c>
      <c r="Q55" s="219">
        <f>AVERAGE(L55,M55)</f>
        <v>711.5</v>
      </c>
      <c r="R55" s="219">
        <f>AVERAGE(E55:M55)</f>
        <v>870.77777777777783</v>
      </c>
      <c r="S55" s="220">
        <f>_xlfn.STDEV.S(E55,F55,G55)</f>
        <v>109.15279810125497</v>
      </c>
      <c r="T55" s="219">
        <f>_xlfn.STDEV.S(H55,I55)</f>
        <v>2.1213203435596424</v>
      </c>
      <c r="U55" s="219">
        <f>_xlfn.STDEV.S(J55,K55)</f>
        <v>16.970562748477139</v>
      </c>
      <c r="V55" s="219">
        <f>_xlfn.STDEV.S(L55,M55)</f>
        <v>7.7781745930520225</v>
      </c>
      <c r="W55" s="221">
        <f>AVERAGE(S55:V55)</f>
        <v>34.005713946585949</v>
      </c>
      <c r="X55" s="206">
        <f>-10*LOG10(1/3*((1/$E55)^2+(1/$F55)^2+(1/$G55)^2))</f>
        <v>60.454645725678859</v>
      </c>
      <c r="Y55" s="207">
        <f>-10*LOG10(1/9*((1/$E55)^2+(1/$F55)^2+(1/$G55)^2+(1/$H55)^2+(1/$I55)^2+(1/$J55)^2+(1/$K55)^2+(1/$L55)^2+(1/$M55)^2))</f>
        <v>58.434406197187059</v>
      </c>
      <c r="Z55" s="156">
        <f>RANK(N55,N$51:N$55)</f>
        <v>2</v>
      </c>
      <c r="AA55" s="156">
        <f>RANK(R55,R$51:R$55)</f>
        <v>1</v>
      </c>
      <c r="AB55" s="40">
        <f>RANK(S55,S$51:S$55,1)</f>
        <v>5</v>
      </c>
      <c r="AC55" s="40">
        <f>RANK(W55,W$51:W$55,1)</f>
        <v>5</v>
      </c>
      <c r="AD55" s="112">
        <f>RANK(Y55,Y$51:Y$55)</f>
        <v>1</v>
      </c>
      <c r="AM55" s="42">
        <v>95</v>
      </c>
      <c r="AN55" s="42">
        <v>90</v>
      </c>
      <c r="AO55" s="42">
        <v>80</v>
      </c>
      <c r="AP55" s="42">
        <v>80</v>
      </c>
      <c r="AQ55" s="42">
        <v>60</v>
      </c>
      <c r="AR55" s="42">
        <v>45</v>
      </c>
      <c r="AS55" s="42">
        <v>30</v>
      </c>
      <c r="AT55" s="42">
        <v>10</v>
      </c>
      <c r="AU55" s="42">
        <v>20</v>
      </c>
    </row>
    <row r="56" spans="1:47" hidden="1" x14ac:dyDescent="0.3">
      <c r="A56" s="35"/>
      <c r="E56" s="64"/>
      <c r="F56" s="64"/>
      <c r="G56" s="64"/>
      <c r="H56" s="64"/>
      <c r="I56" s="64"/>
      <c r="J56" s="64"/>
      <c r="K56" s="64"/>
      <c r="L56" s="64"/>
      <c r="M56" s="64"/>
    </row>
    <row r="57" spans="1:47" hidden="1" x14ac:dyDescent="0.3"/>
    <row r="58" spans="1:47" hidden="1" x14ac:dyDescent="0.3">
      <c r="G58" s="62"/>
      <c r="H58" s="62"/>
    </row>
    <row r="59" spans="1:47" hidden="1" x14ac:dyDescent="0.3"/>
    <row r="60" spans="1:47" ht="25.2" hidden="1" thickBot="1" x14ac:dyDescent="0.35">
      <c r="A60" s="159" t="s">
        <v>206</v>
      </c>
    </row>
    <row r="61" spans="1:47" ht="16.8" thickBot="1" x14ac:dyDescent="0.35">
      <c r="A61" s="43" t="s">
        <v>144</v>
      </c>
      <c r="B61" s="351" t="s">
        <v>90</v>
      </c>
      <c r="C61" s="352"/>
      <c r="D61" s="348" t="s">
        <v>92</v>
      </c>
      <c r="E61" s="350"/>
      <c r="F61" s="43" t="s">
        <v>109</v>
      </c>
      <c r="G61" s="348" t="s">
        <v>154</v>
      </c>
      <c r="H61" s="349"/>
      <c r="I61" s="350"/>
      <c r="J61" s="348" t="s">
        <v>155</v>
      </c>
      <c r="K61" s="349"/>
      <c r="L61" s="350"/>
      <c r="M61" s="35"/>
    </row>
    <row r="62" spans="1:47" ht="49.2" thickBot="1" x14ac:dyDescent="0.35">
      <c r="A62" s="71" t="s">
        <v>95</v>
      </c>
      <c r="B62" s="139" t="s">
        <v>30</v>
      </c>
      <c r="C62" s="145" t="s">
        <v>91</v>
      </c>
      <c r="D62" s="139" t="s">
        <v>30</v>
      </c>
      <c r="E62" s="140" t="s">
        <v>94</v>
      </c>
      <c r="F62" s="71" t="s">
        <v>120</v>
      </c>
      <c r="G62" s="71" t="s">
        <v>100</v>
      </c>
      <c r="H62" s="71" t="s">
        <v>99</v>
      </c>
      <c r="I62" s="71" t="s">
        <v>146</v>
      </c>
      <c r="J62" s="71" t="s">
        <v>100</v>
      </c>
      <c r="K62" s="71" t="s">
        <v>99</v>
      </c>
      <c r="L62" s="71" t="s">
        <v>146</v>
      </c>
      <c r="M62" s="35"/>
      <c r="N62" s="108" t="s">
        <v>110</v>
      </c>
      <c r="O62" s="39" t="s">
        <v>111</v>
      </c>
      <c r="P62" s="40" t="s">
        <v>112</v>
      </c>
      <c r="Q62" s="43" t="s">
        <v>113</v>
      </c>
    </row>
    <row r="63" spans="1:47" ht="16.2" customHeight="1" x14ac:dyDescent="0.3">
      <c r="A63" s="73" t="s">
        <v>145</v>
      </c>
      <c r="B63" s="237">
        <f>ABS(AVERAGE(R27:R34)-AVERAGE(R35:R42))</f>
        <v>378.02083333333326</v>
      </c>
      <c r="C63" s="238">
        <f>ABS(AVERAGE(V27:V34)-AVERAGE(V35:V42))</f>
        <v>196.53194444444421</v>
      </c>
      <c r="D63" s="239">
        <f>ABS(AVERAGE(W27:W34)-AVERAGE(W35:W42))</f>
        <v>55.684744890670302</v>
      </c>
      <c r="E63" s="239">
        <f>ABS(AVERAGE(AA27:AA34)-AVERAGE(AA35:AA42))</f>
        <v>19.286358924920499</v>
      </c>
      <c r="F63" s="240">
        <f>ABS(AVERAGE(AC27:AC34)-AVERAGE(AC35:AC42))</f>
        <v>1.3242967777050296</v>
      </c>
      <c r="G63" s="72">
        <f>RANK(C63,$C$63:C$77)</f>
        <v>1</v>
      </c>
      <c r="H63" s="102">
        <f t="shared" ref="H63:H77" si="18">RANK(E63,E$63:E$77)</f>
        <v>1</v>
      </c>
      <c r="I63" s="231">
        <f t="shared" ref="I63:I77" si="19">RANK(F63,$F$63:$F$77)</f>
        <v>1</v>
      </c>
      <c r="J63" s="72">
        <f>RANK(C63,$C$63:C$69)</f>
        <v>1</v>
      </c>
      <c r="K63" s="102">
        <f t="shared" ref="K63:K69" si="20">RANK(E63,E$63:E$69)</f>
        <v>1</v>
      </c>
      <c r="L63" s="231">
        <f t="shared" ref="L63:L69" si="21">RANK(F63,$F$63:$F$69)</f>
        <v>1</v>
      </c>
      <c r="M63" s="35"/>
      <c r="N63" s="105" t="s">
        <v>145</v>
      </c>
      <c r="O63" s="114">
        <f>AVERAGE(AC27:AC34)</f>
        <v>54.54013333753052</v>
      </c>
      <c r="P63" s="115">
        <f>AVERAGE(AC35:AC42)</f>
        <v>55.86443011523555</v>
      </c>
      <c r="Q63" s="116">
        <f>O63-P63</f>
        <v>-1.3242967777050296</v>
      </c>
    </row>
    <row r="64" spans="1:47" ht="16.2" customHeight="1" x14ac:dyDescent="0.3">
      <c r="A64" s="163" t="s">
        <v>75</v>
      </c>
      <c r="B64" s="241">
        <f>ABS(AVERAGE(R27:R30,R35:R38)-AVERAGE(R31:R34,R39:R42))</f>
        <v>1.8541666666667425</v>
      </c>
      <c r="C64" s="242">
        <f>ABS(AVERAGE(V27:V30,V35:V38)-AVERAGE(V31:V34,V39:V42))</f>
        <v>13.156944444444548</v>
      </c>
      <c r="D64" s="243">
        <f>ABS(AVERAGE(W27:W30,W35:W38)-AVERAGE(W31:W34,W39:W42))</f>
        <v>7.1415774065170439</v>
      </c>
      <c r="E64" s="243">
        <f>ABS(AVERAGE(AA27:AA30,AA35:AA38)-AVERAGE(AA31:AA34,AA39:AA42))</f>
        <v>0.60982932790662403</v>
      </c>
      <c r="F64" s="244">
        <f>ABS(AVERAGE(AC27:AC30,AC35:AC38)-AVERAGE(AC31:AC34,AC39:AC42))</f>
        <v>0.17438151182886941</v>
      </c>
      <c r="G64" s="164">
        <f>RANK(C64,$C$63:C$77)</f>
        <v>10</v>
      </c>
      <c r="H64" s="165">
        <f t="shared" si="18"/>
        <v>15</v>
      </c>
      <c r="I64" s="232">
        <f t="shared" si="19"/>
        <v>12</v>
      </c>
      <c r="J64" s="164">
        <f>RANK(C64,$C$63:C$69)</f>
        <v>6</v>
      </c>
      <c r="K64" s="165">
        <f t="shared" si="20"/>
        <v>7</v>
      </c>
      <c r="L64" s="232">
        <f t="shared" si="21"/>
        <v>6</v>
      </c>
      <c r="M64" s="35"/>
      <c r="N64" s="105" t="s">
        <v>75</v>
      </c>
      <c r="O64" s="114">
        <f>AVERAGE(AC27:AC30,AC35:AC38)</f>
        <v>55.1150909704686</v>
      </c>
      <c r="P64" s="115">
        <f>AVERAGE(AC31:AC34,AC39:AC42)</f>
        <v>55.289472482297469</v>
      </c>
      <c r="Q64" s="116">
        <f t="shared" ref="Q64:Q69" si="22">O64-P64</f>
        <v>-0.17438151182886941</v>
      </c>
    </row>
    <row r="65" spans="1:22" ht="16.2" customHeight="1" x14ac:dyDescent="0.3">
      <c r="A65" s="166" t="s">
        <v>63</v>
      </c>
      <c r="B65" s="241">
        <f>ABS(AVERAGE(R27:R28,R31:R32,R39:R40,R35:R36)-AVERAGE(R29:R30,R33:R34,R37:R38,R41:R42))</f>
        <v>123.97916666666652</v>
      </c>
      <c r="C65" s="242">
        <f>ABS(AVERAGE(V27:V28,V31:V32,V39:V40,V35:V36)-AVERAGE(V29:V30,V33:V34,V37:V38,V41:V42))</f>
        <v>57.309722222222035</v>
      </c>
      <c r="D65" s="243">
        <f>ABS(AVERAGE(W27:W28,W31:W32,W39:W40,W35:W36)-AVERAGE(W29:W30,W33:W34,W37:W38,W41:W42))</f>
        <v>0.14272825079555673</v>
      </c>
      <c r="E65" s="243">
        <f>ABS(AVERAGE(AA27:AA28,AA31:AA32,AA39:AA40,AA35:AA36)-AVERAGE(AA29:AA30,AA33:AA34,AA37:AA38,AA41:AA42))</f>
        <v>2.3994169150122886</v>
      </c>
      <c r="F65" s="244">
        <f>ABS(AVERAGE(AC27:AC28,AC31:AC32,AC39:AC40,AC35:AC36)-AVERAGE(AC29:AC30,AC33:AC34,AC37:AC38,AC41:AC42))</f>
        <v>0.82731632414700584</v>
      </c>
      <c r="G65" s="167">
        <f>RANK(C65,$C$63:C$77)</f>
        <v>3</v>
      </c>
      <c r="H65" s="177">
        <f t="shared" si="18"/>
        <v>14</v>
      </c>
      <c r="I65" s="233">
        <f t="shared" si="19"/>
        <v>3</v>
      </c>
      <c r="J65" s="167">
        <f>RANK(C65,$C$63:C$69)</f>
        <v>2</v>
      </c>
      <c r="K65" s="165">
        <f t="shared" si="20"/>
        <v>6</v>
      </c>
      <c r="L65" s="233">
        <f t="shared" si="21"/>
        <v>2</v>
      </c>
      <c r="M65" s="35"/>
      <c r="N65" s="105" t="s">
        <v>63</v>
      </c>
      <c r="O65" s="114">
        <f>AVERAGE(AC27:AC28,AC31:AC32,AC39:AC40,AC35:AC36)</f>
        <v>54.788623564309532</v>
      </c>
      <c r="P65" s="115">
        <f>AVERAGE(AC29:AC30,AC33:AC34,AC37:AC38,AC41:AC42)</f>
        <v>55.615939888456538</v>
      </c>
      <c r="Q65" s="116">
        <f t="shared" si="22"/>
        <v>-0.82731632414700584</v>
      </c>
    </row>
    <row r="66" spans="1:22" ht="16.2" customHeight="1" x14ac:dyDescent="0.3">
      <c r="A66" s="169" t="s">
        <v>73</v>
      </c>
      <c r="B66" s="241">
        <f>ABS(AVERAGE(R27,R29,R31,R33,R35,R37,R39,R41)-AVERAGE(R28,R30,R32,R34,R36,R38,R40,R42))</f>
        <v>118.14583333333348</v>
      </c>
      <c r="C66" s="242">
        <f>ABS(AVERAGE(V27,V29,V31,V33,V35,V37,V39,V41)-AVERAGE(V28,V30,V32,V34,V36,V38,V40,V42))</f>
        <v>29.64305555555552</v>
      </c>
      <c r="D66" s="243">
        <f>ABS(AVERAGE(W27,W29,W31,W33,W35,W37,W39,W41)-AVERAGE(W28,W30,W32,W34,W36,W38,W40,W42))</f>
        <v>57.532024546312243</v>
      </c>
      <c r="E66" s="243">
        <f>ABS(AVERAGE(AA27,AA29,AA31,AA33,AA35,AA37,AA39,AA41)-AVERAGE(AA28,AA30,AA32,AA34,AA36,AA38,AA40,AA42))</f>
        <v>11.594353768273614</v>
      </c>
      <c r="F66" s="244">
        <f>ABS(AVERAGE(AC27,AC29,AC31,AC33,AC35,AC37,AC39,AC41)-AVERAGE(AC28,AC30,AC32,AC34,AC36,AC38,AC40,AC42))</f>
        <v>0.47845928195310705</v>
      </c>
      <c r="G66" s="164">
        <f>RANK(C66,$C$63:C$77)</f>
        <v>7</v>
      </c>
      <c r="H66" s="165">
        <f t="shared" si="18"/>
        <v>5</v>
      </c>
      <c r="I66" s="232">
        <f t="shared" si="19"/>
        <v>8</v>
      </c>
      <c r="J66" s="164">
        <f>RANK(C66,$C$63:C$69)</f>
        <v>5</v>
      </c>
      <c r="K66" s="168">
        <f t="shared" si="20"/>
        <v>3</v>
      </c>
      <c r="L66" s="232">
        <f t="shared" si="21"/>
        <v>5</v>
      </c>
      <c r="M66" s="35"/>
      <c r="N66" s="105" t="s">
        <v>73</v>
      </c>
      <c r="O66" s="117">
        <f>AVERAGE(AC27,AC29,AC31,AC33,AC35,AC37,AC39,AC41)</f>
        <v>55.441511367359588</v>
      </c>
      <c r="P66" s="118">
        <f>AVERAGE(AC28,AC30,AC32,AC34,AC36,AC38,AC40,AC42)</f>
        <v>54.963052085406481</v>
      </c>
      <c r="Q66" s="116">
        <f t="shared" si="22"/>
        <v>0.47845928195310705</v>
      </c>
    </row>
    <row r="67" spans="1:22" ht="16.2" customHeight="1" x14ac:dyDescent="0.3">
      <c r="A67" s="169" t="s">
        <v>68</v>
      </c>
      <c r="B67" s="241">
        <f>ABS(AVERAGE(R27,R30,R32,R34,R35,R38,R40,R42)-AVERAGE(R28,R29,R31,R33,R36,R39,R37,R41))</f>
        <v>111.64583333333348</v>
      </c>
      <c r="C67" s="242">
        <f>ABS(AVERAGE(V27,V30,V32,V34,V35,V38,V40,V42)-AVERAGE(V28,V29,V31,V33,V36,V39,V37,V41))</f>
        <v>32.259722222222308</v>
      </c>
      <c r="D67" s="243">
        <f>ABS(AVERAGE(W27,W30,W32,W34,W35,W38,W40,W42)-AVERAGE(W28,W29,W31,W33,W36,W39,W37,W41))</f>
        <v>63.324161692892453</v>
      </c>
      <c r="E67" s="243">
        <f>ABS(AVERAGE(AA27,AA30,AA32,AA34,AA35,AA38,AA40,AA42)-AVERAGE(AA28,AA29,AA31,AA33,AA36,AA39,AA37,AA41))</f>
        <v>18.266139400934282</v>
      </c>
      <c r="F67" s="244">
        <f>ABS(AVERAGE(AC27,AC29,AC32,AC34,AC35,AC37,AC40,AC42)-AVERAGE(AC28,AC30,AC31,AC33,AC36,AC39,AC38,AC41))</f>
        <v>0.74763481339782345</v>
      </c>
      <c r="G67" s="230">
        <f>RANK(C67,$C$63:C$77)</f>
        <v>6</v>
      </c>
      <c r="H67" s="168">
        <f t="shared" si="18"/>
        <v>2</v>
      </c>
      <c r="I67" s="234">
        <f t="shared" si="19"/>
        <v>4</v>
      </c>
      <c r="J67" s="167">
        <f>RANK(C67,$C$63:C$69)</f>
        <v>4</v>
      </c>
      <c r="K67" s="168">
        <f t="shared" si="20"/>
        <v>2</v>
      </c>
      <c r="L67" s="233">
        <f t="shared" si="21"/>
        <v>3</v>
      </c>
      <c r="M67" s="35"/>
      <c r="N67" s="105" t="s">
        <v>68</v>
      </c>
      <c r="O67" s="117">
        <f>AVERAGE(AC27,AC30,AC32,AC34,AC35,AC38,AC40,AC42)</f>
        <v>55.29889757646275</v>
      </c>
      <c r="P67" s="118">
        <f>AVERAGE(AC28,AC29,AC31,AC33,AC36,AC39,AC37,AC41)</f>
        <v>55.105665876303327</v>
      </c>
      <c r="Q67" s="116">
        <f t="shared" si="22"/>
        <v>0.19323170015942281</v>
      </c>
    </row>
    <row r="68" spans="1:22" ht="16.2" customHeight="1" x14ac:dyDescent="0.3">
      <c r="A68" s="164" t="s">
        <v>69</v>
      </c>
      <c r="B68" s="241">
        <f>ABS(AVERAGE(R27,R29,R31,R34,R35,R37,R39,R42)-AVERAGE(R28,R30,R32,R33,R36,R38,R40,R41))</f>
        <v>23.270833333333258</v>
      </c>
      <c r="C68" s="242">
        <f>ABS(AVERAGE(V27,V29,V31,V34,V35,V37,V39,V42)-AVERAGE(V28,V30,V32,V33,V36,V38,V40,V41))</f>
        <v>5.5597222222222626</v>
      </c>
      <c r="D68" s="243">
        <f>ABS(AVERAGE(W27,W29,W31,W34,W35,W37,W39,W42)-AVERAGE(W28,W30,W32,W33,W36,W38,W40,W41))</f>
        <v>36.903568940632098</v>
      </c>
      <c r="E68" s="243">
        <f>ABS(AVERAGE(AA27,AA29,AA31,AA34,AA35,AA37,AA39,AA42)-AVERAGE(AA28,AA30,AA32,AA33,AA36,AA38,AA40,AA41))</f>
        <v>9.0225990355668841</v>
      </c>
      <c r="F68" s="244">
        <f>ABS(AVERAGE(AC27,AC30,AC31,AC34,AC35,AC38,AC39,AC42)-AVERAGE(AC28,AC29,AC32,AC33,AC36,AC37,AC40,AC41))</f>
        <v>3.6933327684820938E-2</v>
      </c>
      <c r="G68" s="164">
        <f>RANK(C68,$C$63:C$77)</f>
        <v>14</v>
      </c>
      <c r="H68" s="165">
        <f t="shared" si="18"/>
        <v>7</v>
      </c>
      <c r="I68" s="232">
        <f t="shared" si="19"/>
        <v>15</v>
      </c>
      <c r="J68" s="164">
        <f>RANK(C68,$C$63:C$69)</f>
        <v>7</v>
      </c>
      <c r="K68" s="165">
        <f t="shared" si="20"/>
        <v>4</v>
      </c>
      <c r="L68" s="232">
        <f t="shared" si="21"/>
        <v>7</v>
      </c>
      <c r="M68" s="35"/>
      <c r="N68" s="109" t="s">
        <v>69</v>
      </c>
      <c r="O68" s="117">
        <f>AVERAGE(AC27,AC29,AC31,AC34,AC35,AC37,AC39,AC42)</f>
        <v>55.497949946844642</v>
      </c>
      <c r="P68" s="118">
        <f>AVERAGE(AC28,AC30,AC32,AC33,AC36,AC38,AC40,AC41)</f>
        <v>54.906613505921428</v>
      </c>
      <c r="Q68" s="116">
        <f t="shared" si="22"/>
        <v>0.59133644092321447</v>
      </c>
    </row>
    <row r="69" spans="1:22" ht="16.2" customHeight="1" thickBot="1" x14ac:dyDescent="0.35">
      <c r="A69" s="170" t="s">
        <v>48</v>
      </c>
      <c r="B69" s="245">
        <f>ABS(AVERAGE(R27,R30,R32,R33,R36,R37,R39,R42)-AVERAGE(R28,R29,R31,R34,R35,R38,R40,R41))</f>
        <v>43.854166666666742</v>
      </c>
      <c r="C69" s="246">
        <f>ABS(AVERAGE(V27,V30,V32,V33,V36,V37,V39,V42)-AVERAGE(V28,V29,V31,V34,V35,V38,V40,V41))</f>
        <v>38.85694444444448</v>
      </c>
      <c r="D69" s="247">
        <f>ABS(AVERAGE(W27,W30,W32,W33,W36,W37,W39,W42)-AVERAGE(W28,W29,W31,W34,W35,W38,W40,W41))</f>
        <v>8.5282672433379361</v>
      </c>
      <c r="E69" s="247">
        <f>ABS(AVERAGE(AA27,AA30,AA32,AA33,AA36,AA37,AA39,AA42)-AVERAGE(AA28,AA29,AA31,AA34,AA35,AA38,AA40,AA41))</f>
        <v>3.1441133914077284</v>
      </c>
      <c r="F69" s="248">
        <f>ABS(AVERAGE(AC27,AC30,AC32,AC33,AC36,AC37,AC39,AC42)-AVERAGE(AC28,AC29,AC31,AC34,AC35,AC38,AC40,AC41))</f>
        <v>0.67375909398214162</v>
      </c>
      <c r="G69" s="171">
        <f>RANK(C69,$C$63:C$77)</f>
        <v>5</v>
      </c>
      <c r="H69" s="172">
        <f t="shared" si="18"/>
        <v>12</v>
      </c>
      <c r="I69" s="150">
        <f t="shared" si="19"/>
        <v>5</v>
      </c>
      <c r="J69" s="171">
        <f>RANK(C69,$C$63:C$69)</f>
        <v>3</v>
      </c>
      <c r="K69" s="172">
        <f t="shared" si="20"/>
        <v>5</v>
      </c>
      <c r="L69" s="150">
        <f t="shared" si="21"/>
        <v>4</v>
      </c>
      <c r="M69" s="35"/>
      <c r="N69" s="110" t="s">
        <v>48</v>
      </c>
      <c r="O69" s="119">
        <f>AVERAGE(AC27,AC30,AC32,AC33,AC36,AC37,AC39,AC42)</f>
        <v>55.539161273374106</v>
      </c>
      <c r="P69" s="120">
        <f>AVERAGE(AC28,AC29,AC31,AC34,AC35,AC38,AC40,AC41)</f>
        <v>54.865402179391964</v>
      </c>
      <c r="Q69" s="121">
        <f t="shared" si="22"/>
        <v>0.67375909398214162</v>
      </c>
    </row>
    <row r="70" spans="1:22" ht="16.2" customHeight="1" x14ac:dyDescent="0.3">
      <c r="A70" s="44" t="s">
        <v>147</v>
      </c>
      <c r="B70" s="249">
        <f>ABS(AVERAGE(R27:R30,R39:R42)-AVERAGE(R31:R38))</f>
        <v>43.062499999999886</v>
      </c>
      <c r="C70" s="250">
        <f>ABS(AVERAGE(V27:V30,V39:V42)-AVERAGE(V31:V38))</f>
        <v>22.587499999999977</v>
      </c>
      <c r="D70" s="251">
        <f>ABS(AVERAGE(W27:W30,W39:W42)-AVERAGE(W31:W38))</f>
        <v>4.2162645118934705</v>
      </c>
      <c r="E70" s="251">
        <f>ABS(AVERAGE(AA27:AA30,AA39:AA42)-AVERAGE(AA31:AA38))</f>
        <v>6.7153397948481626</v>
      </c>
      <c r="F70" s="252">
        <f>ABS(AVERAGE(AC27:AC30,AC39:AC42)-AVERAGE(AC31:AC38))</f>
        <v>0.39218398406069355</v>
      </c>
      <c r="G70" s="37">
        <f>RANK(C70,$C$63:C$77)</f>
        <v>8</v>
      </c>
      <c r="H70" s="141">
        <f t="shared" si="18"/>
        <v>10</v>
      </c>
      <c r="I70" s="38">
        <f t="shared" si="19"/>
        <v>9</v>
      </c>
      <c r="J70" s="37"/>
      <c r="K70" s="35"/>
      <c r="L70" s="35"/>
      <c r="M70" s="35"/>
      <c r="N70" s="35"/>
      <c r="O70" s="35"/>
      <c r="P70" s="35"/>
      <c r="Q70" s="35"/>
    </row>
    <row r="71" spans="1:22" ht="16.2" customHeight="1" x14ac:dyDescent="0.3">
      <c r="A71" s="74" t="s">
        <v>153</v>
      </c>
      <c r="B71" s="253">
        <f>ABS(AVERAGE(R27:R28,R31:R32,R37:R38,R41:R42)-AVERAGE(R29:R30,R33:R36,R39:R40))</f>
        <v>93.770833333333371</v>
      </c>
      <c r="C71" s="254">
        <f>ABS(AVERAGE(V27:V28,V31:V32,V37:V38,V41:V42)-AVERAGE(V29:V30,V33:V36,V39:V40))</f>
        <v>42.648611111110995</v>
      </c>
      <c r="D71" s="255">
        <f>ABS(AVERAGE(W27:W28,W31:W32,W37:W38,W41:W42)-AVERAGE(W29:W30,W33:W36,W39:W40))</f>
        <v>28.35616680373262</v>
      </c>
      <c r="E71" s="255">
        <f>ABS(AVERAGE(AA27:AA28,AA31:AA32,AA37:AA38,AA41:AA42)-AVERAGE(AA29:AA30,AA33:AA36,AA39:AA40))</f>
        <v>8.971713505842331</v>
      </c>
      <c r="F71" s="256">
        <f>ABS(AVERAGE(AC27:AC28,AC31:AC32,AC37:AC38,AC41:AC42)-AVERAGE(AC29:AC30,AC33:AC36,AC39:AC40))</f>
        <v>0.5374026653766748</v>
      </c>
      <c r="G71" s="124">
        <f>RANK(C71,$C$63:C$77)</f>
        <v>4</v>
      </c>
      <c r="H71" s="147">
        <f t="shared" si="18"/>
        <v>8</v>
      </c>
      <c r="I71" s="148">
        <f t="shared" si="19"/>
        <v>6</v>
      </c>
      <c r="J71" s="35"/>
      <c r="K71" s="35"/>
      <c r="L71" s="35"/>
      <c r="M71" s="35"/>
      <c r="N71" s="35"/>
      <c r="O71" s="35"/>
      <c r="P71" s="35"/>
      <c r="Q71" s="35"/>
    </row>
    <row r="72" spans="1:22" ht="16.2" customHeight="1" x14ac:dyDescent="0.3">
      <c r="A72" s="68" t="s">
        <v>149</v>
      </c>
      <c r="B72" s="257">
        <f>ABS(AVERAGE(R27:R28,R33:R36,R41:R42)-AVERAGE(R29:R32,R37:R40))</f>
        <v>1.5624999999998863</v>
      </c>
      <c r="C72" s="258">
        <f>ABS(AVERAGE(V27:V28,V33:V36,V41:V42)-AVERAGE(V29:V32,V37:V40))</f>
        <v>10.134722222222194</v>
      </c>
      <c r="D72" s="259">
        <f>ABS(AVERAGE(W27:W28,W33:W36,W41:W42)-AVERAGE(W29:W32,W37:W40))</f>
        <v>41.863628811562037</v>
      </c>
      <c r="E72" s="259">
        <f>ABS(AVERAGE(AA27:AA28,AA33:AA36,AA41:AA42)-AVERAGE(AA29:AA32,AA37:AA40))</f>
        <v>14.637837211891142</v>
      </c>
      <c r="F72" s="260">
        <f>ABS(AVERAGE(AC27:AC28,AC33:AC36,AC41:AC42)-AVERAGE(AC29:AC32,AC37:AC40))</f>
        <v>0.2681787353242413</v>
      </c>
      <c r="G72" s="35">
        <f>RANK(C72,$C$63:C$77)</f>
        <v>12</v>
      </c>
      <c r="H72" s="51">
        <f t="shared" si="18"/>
        <v>4</v>
      </c>
      <c r="I72" s="50">
        <f t="shared" si="19"/>
        <v>11</v>
      </c>
      <c r="J72" s="35"/>
      <c r="K72" s="35"/>
      <c r="L72" s="35"/>
      <c r="M72" s="35"/>
      <c r="N72" s="35"/>
      <c r="O72" s="35"/>
      <c r="P72" s="35"/>
      <c r="Q72" s="35"/>
    </row>
    <row r="73" spans="1:22" ht="16.2" customHeight="1" x14ac:dyDescent="0.3">
      <c r="A73" s="74" t="s">
        <v>150</v>
      </c>
      <c r="B73" s="253">
        <f>ABS(AVERAGE(R27:R28,R33:R34,R37:R40)-AVERAGE(R29:R32,R35:R36,R41:R42))</f>
        <v>6.6458333333332575</v>
      </c>
      <c r="C73" s="254">
        <f>ABS(AVERAGE(V27:V28,V33:V34,V37:V40)-AVERAGE(V29:V32,V35:V36,V41:V42))</f>
        <v>3.8708333333332803</v>
      </c>
      <c r="D73" s="255">
        <f>ABS(AVERAGE(W27:W28,W33:W34,W37:W40)-AVERAGE(W29:W32,W35:W36,W41:W42))</f>
        <v>10.718114636977944</v>
      </c>
      <c r="E73" s="255">
        <f>ABS(AVERAGE(AA27:AA28,AA33:AA34,AA37:AA40)-AVERAGE(AA29:AA32,AA35:AA36,AA41:AA42))</f>
        <v>5.556569375197256</v>
      </c>
      <c r="F73" s="256">
        <f>ABS(AVERAGE(AC27:AC28,AC33:AC34,AC37:AC40)-AVERAGE(AC29:AC32,AC35:AC36,AC41:AC42))</f>
        <v>4.3218221569176762E-2</v>
      </c>
      <c r="G73" s="124">
        <f>RANK(C73,$C$63:C$77)</f>
        <v>15</v>
      </c>
      <c r="H73" s="147">
        <f t="shared" si="18"/>
        <v>11</v>
      </c>
      <c r="I73" s="148">
        <f t="shared" si="19"/>
        <v>14</v>
      </c>
      <c r="J73" s="35"/>
      <c r="K73" s="35"/>
      <c r="L73" s="35"/>
      <c r="M73" s="35"/>
      <c r="N73" s="35"/>
      <c r="O73" s="35"/>
      <c r="P73" s="35"/>
      <c r="Q73" s="35"/>
    </row>
    <row r="74" spans="1:22" ht="16.2" customHeight="1" x14ac:dyDescent="0.3">
      <c r="A74" s="68" t="s">
        <v>184</v>
      </c>
      <c r="B74" s="257">
        <f>ABS(AVERAGE(R27,R29,R31,R33,R36,R38,R40,R42)-AVERAGE(R28,R30,R32,R34,R35,R37,R39,R41))</f>
        <v>63.270833333333485</v>
      </c>
      <c r="C74" s="258">
        <f>ABS(AVERAGE(V27,V29,V31,V33,V36,V38,V40,V42)-AVERAGE(V28,V30,V32,V34,V35,V37,V39,V41))</f>
        <v>16.962499999999864</v>
      </c>
      <c r="D74" s="259">
        <f>ABS(AVERAGE(W27,W29,W31,W33,W36,W38,W40,W42)-AVERAGE(W28,W30,W32,W34,W35,W37,W39,W41))</f>
        <v>37.060839057424637</v>
      </c>
      <c r="E74" s="259">
        <f>ABS(AVERAGE(AA27,AA29,AA31,AA33,AA36,AA38,AA40,AA42)-AVERAGE(AA28,AA30,AA32,AA34,AA35,AA37,AA39,AA41))</f>
        <v>7.9659010539258759</v>
      </c>
      <c r="F74" s="260">
        <f>ABS(AVERAGE(AC27,AC29,AC31,AC33,AC36,AC38,AC40,AC42)-AVERAGE(AC28,AC30,AC32,AC34,AC35,AC37,AC39,AC41))</f>
        <v>1.0628040000515426</v>
      </c>
      <c r="G74" s="35">
        <f>RANK(C74,$C$63:C$77)</f>
        <v>9</v>
      </c>
      <c r="H74" s="51">
        <f t="shared" si="18"/>
        <v>9</v>
      </c>
      <c r="I74" s="236">
        <f t="shared" si="19"/>
        <v>2</v>
      </c>
      <c r="J74" s="35"/>
      <c r="K74" s="35"/>
      <c r="L74" s="35"/>
      <c r="M74" s="35"/>
      <c r="N74" s="35"/>
      <c r="O74" s="35"/>
      <c r="P74" s="35"/>
      <c r="Q74" s="35"/>
    </row>
    <row r="75" spans="1:22" ht="16.2" customHeight="1" x14ac:dyDescent="0.3">
      <c r="A75" s="74" t="s">
        <v>151</v>
      </c>
      <c r="B75" s="253">
        <f>ABS(AVERAGE(R27,R29,R32,R34,R36,R38,R39,R41)-AVERAGE(R28,R30,R31,R33,R35,R37,R40,R42))</f>
        <v>21.229166666666742</v>
      </c>
      <c r="C75" s="254">
        <f>ABS(AVERAGE(V27,V29,V32,V34,V36,V38,V39,V41)-AVERAGE(V28,V30,V31,V33,V35,V37,V40,V42))</f>
        <v>12.648611111110995</v>
      </c>
      <c r="D75" s="255">
        <f>ABS(AVERAGE(W27,W29,W32,W34,W36,W38,W39,W41)-AVERAGE(W28,W30,W31,W33,W35,W37,W40,W42))</f>
        <v>1.6204008121121518</v>
      </c>
      <c r="E75" s="255">
        <f>ABS(AVERAGE(AA27,AA29,AA32,AA34,AA36,AA38,AA39,AA41)-AVERAGE(AA28,AA30,AA31,AA33,AA35,AA37,AA40,AA42))</f>
        <v>9.6667520114978416</v>
      </c>
      <c r="F75" s="256">
        <f>ABS(AVERAGE(AC27,AC29,AC32,AC34,AC36,AC38,AC39,AC41)-AVERAGE(AC28,AC30,AC31,AC33,AC35,AC37,AC40,AC42))</f>
        <v>0.35177156067142334</v>
      </c>
      <c r="G75" s="124">
        <f>RANK(C75,$C$63:C$77)</f>
        <v>11</v>
      </c>
      <c r="H75" s="147">
        <f t="shared" si="18"/>
        <v>6</v>
      </c>
      <c r="I75" s="148">
        <f t="shared" si="19"/>
        <v>10</v>
      </c>
      <c r="J75" s="35"/>
      <c r="K75" s="35"/>
      <c r="L75" s="35"/>
      <c r="M75" s="35"/>
      <c r="N75" s="35"/>
      <c r="O75" s="35"/>
      <c r="P75" s="35"/>
      <c r="Q75" s="35"/>
      <c r="U75" s="70"/>
      <c r="V75" s="70"/>
    </row>
    <row r="76" spans="1:22" ht="16.2" customHeight="1" x14ac:dyDescent="0.3">
      <c r="A76" s="68" t="s">
        <v>152</v>
      </c>
      <c r="B76" s="257">
        <f>ABS(AVERAGE(R27,R30,R31,R34,R36:R37,R40:R41)-AVERAGE(R28:R29,R32:R33,R35,R38:R39,R42))</f>
        <v>63.979166666666629</v>
      </c>
      <c r="C76" s="258">
        <f>ABS(AVERAGE(V27,V30,V31,V34,V36:V37,V40:V41)-AVERAGE(V28:V29,V32:V33,V35,V38:V39,V42))</f>
        <v>71.35694444444448</v>
      </c>
      <c r="D76" s="259">
        <f>ABS(AVERAGE(W27,W30,W31,W34,W36:W37,W40:W41)-AVERAGE(W28:W29,W32:W33,W35,W38:W39,W42))</f>
        <v>7.8650828763872056</v>
      </c>
      <c r="E76" s="259">
        <f>ABS(AVERAGE(AA27,AA30,AA31,AA34,AA36:AA37,AA40:AA41)-AVERAGE(AA28:AA29,AA32:AA33,AA35,AA38:AA39,AA42))</f>
        <v>2.656439862910247</v>
      </c>
      <c r="F76" s="260">
        <f>ABS(AVERAGE(AC27,AC30,AC31,AC34,AC36:AC37,AC40:AC41)-AVERAGE(AC28:AC29,AC32:AC33,AC35,AC38:AC39,AC42))</f>
        <v>0.52183315789575602</v>
      </c>
      <c r="G76" s="111">
        <f>RANK(C76,$C$63:C$77)</f>
        <v>2</v>
      </c>
      <c r="H76" s="51">
        <f t="shared" si="18"/>
        <v>13</v>
      </c>
      <c r="I76" s="50">
        <f t="shared" si="19"/>
        <v>7</v>
      </c>
      <c r="J76" s="35"/>
      <c r="K76" s="35"/>
      <c r="L76" s="35"/>
      <c r="M76" s="35"/>
      <c r="N76" s="35"/>
      <c r="O76" s="35"/>
      <c r="P76" s="35"/>
      <c r="Q76" s="35"/>
      <c r="U76" s="70"/>
      <c r="V76" s="70"/>
    </row>
    <row r="77" spans="1:22" ht="16.2" customHeight="1" thickBot="1" x14ac:dyDescent="0.35">
      <c r="A77" s="79" t="s">
        <v>148</v>
      </c>
      <c r="B77" s="261">
        <f>ABS(AVERAGE(R27,R30,R32,R33,R35,R38,R40,R41)-AVERAGE(R28,R29,R31,R34,R36,R37,R39,R42))</f>
        <v>16.770833333333258</v>
      </c>
      <c r="C77" s="262">
        <f>ABS(AVERAGE(V27,V30,V32,V33,V35,V38,V40,V41)-AVERAGE(V28,V29,V31,V34,V36,V37,V39,V42))</f>
        <v>8.1763888888888232</v>
      </c>
      <c r="D77" s="263">
        <f>ABS(AVERAGE(W27,W30,W32,W33,W35,W38,W40,W41)-AVERAGE(W28,W29,W31,W34,W36,W37,W39,W42))</f>
        <v>42.695706087212315</v>
      </c>
      <c r="E77" s="263">
        <f>ABS(AVERAGE(AA27,AA30,AA32,AA33,AA35,AA38,AA40,AA41)-AVERAGE(AA28,AA29,AA31,AA34,AA36,AA37,AA39,AA42))</f>
        <v>15.694384668227567</v>
      </c>
      <c r="F77" s="264">
        <f>ABS(AVERAGE(AC27,AC30,AC32,AC33,AC35,AC38,AC40,AC41)-AVERAGE(AC28,AC29,AC31,AC34,AC36,AC37,AC39,AC42))</f>
        <v>8.0354541189308293E-2</v>
      </c>
      <c r="G77" s="152">
        <f>RANK(C77,$C$63:C$77)</f>
        <v>13</v>
      </c>
      <c r="H77" s="328">
        <f t="shared" si="18"/>
        <v>3</v>
      </c>
      <c r="I77" s="153">
        <f t="shared" si="19"/>
        <v>13</v>
      </c>
      <c r="J77" s="35"/>
      <c r="K77" s="35"/>
      <c r="L77" s="35"/>
      <c r="M77" s="35"/>
      <c r="N77" s="35"/>
      <c r="O77" s="35"/>
      <c r="P77" s="35"/>
      <c r="Q77" s="35"/>
      <c r="U77" s="70"/>
      <c r="V77" s="70"/>
    </row>
    <row r="78" spans="1:22" ht="16.2" customHeight="1" x14ac:dyDescent="0.3">
      <c r="U78" s="70"/>
      <c r="V78" s="70"/>
    </row>
    <row r="79" spans="1:22" ht="16.2" customHeight="1" x14ac:dyDescent="0.3">
      <c r="U79" s="70"/>
      <c r="V79" s="70"/>
    </row>
    <row r="83" spans="1:20" x14ac:dyDescent="0.3">
      <c r="A83" s="42" t="s">
        <v>101</v>
      </c>
      <c r="B83" s="62"/>
      <c r="C83" s="62"/>
      <c r="D83" s="42"/>
      <c r="E83" s="42"/>
      <c r="F83" s="42"/>
      <c r="G83" s="42"/>
    </row>
    <row r="84" spans="1:20" x14ac:dyDescent="0.3">
      <c r="A84" t="s">
        <v>93</v>
      </c>
      <c r="D84" s="42"/>
      <c r="E84" s="42"/>
      <c r="F84" s="42"/>
      <c r="G84" s="42"/>
    </row>
    <row r="85" spans="1:20" x14ac:dyDescent="0.3">
      <c r="A85" s="42" t="s">
        <v>102</v>
      </c>
      <c r="D85" s="42"/>
      <c r="E85" s="42"/>
      <c r="F85" s="42"/>
      <c r="G85" s="42"/>
    </row>
    <row r="86" spans="1:20" ht="25.2" thickBot="1" x14ac:dyDescent="0.35">
      <c r="A86" s="159" t="s">
        <v>207</v>
      </c>
    </row>
    <row r="87" spans="1:20" ht="16.8" thickBot="1" x14ac:dyDescent="0.35">
      <c r="A87" s="71" t="s">
        <v>144</v>
      </c>
      <c r="B87" s="351" t="s">
        <v>90</v>
      </c>
      <c r="C87" s="353"/>
      <c r="D87" s="351" t="s">
        <v>92</v>
      </c>
      <c r="E87" s="353"/>
      <c r="F87" s="71" t="s">
        <v>109</v>
      </c>
      <c r="G87" s="351" t="s">
        <v>104</v>
      </c>
      <c r="H87" s="352"/>
      <c r="I87" s="353"/>
      <c r="K87" s="108" t="s">
        <v>110</v>
      </c>
      <c r="L87" s="139" t="s">
        <v>111</v>
      </c>
      <c r="M87" s="140" t="s">
        <v>112</v>
      </c>
      <c r="N87" s="71" t="s">
        <v>113</v>
      </c>
      <c r="P87" s="70"/>
      <c r="Q87" s="70"/>
      <c r="R87" s="70"/>
      <c r="S87" s="70"/>
      <c r="T87" s="70"/>
    </row>
    <row r="88" spans="1:20" ht="49.2" thickBot="1" x14ac:dyDescent="0.35">
      <c r="A88" s="71" t="s">
        <v>95</v>
      </c>
      <c r="B88" s="139" t="s">
        <v>30</v>
      </c>
      <c r="C88" s="145" t="s">
        <v>91</v>
      </c>
      <c r="D88" s="139" t="s">
        <v>30</v>
      </c>
      <c r="E88" s="140" t="s">
        <v>94</v>
      </c>
      <c r="F88" s="71" t="s">
        <v>120</v>
      </c>
      <c r="G88" s="71" t="s">
        <v>100</v>
      </c>
      <c r="H88" s="71" t="s">
        <v>99</v>
      </c>
      <c r="I88" s="71" t="s">
        <v>146</v>
      </c>
      <c r="K88" s="105" t="s">
        <v>132</v>
      </c>
      <c r="L88" s="188">
        <f>AVERAGE(Y51,Y52)</f>
        <v>57.3512183633094</v>
      </c>
      <c r="M88" s="189">
        <f>AVERAGE(Y53,Y54)</f>
        <v>57.456865641736897</v>
      </c>
      <c r="N88" s="190">
        <f>L88-M88</f>
        <v>-0.10564727842749733</v>
      </c>
      <c r="P88" s="70"/>
    </row>
    <row r="89" spans="1:20" x14ac:dyDescent="0.3">
      <c r="A89" s="105" t="s">
        <v>132</v>
      </c>
      <c r="B89" s="160">
        <f>ABS(AVERAGE(N51,N52)-AVERAGE(N53,N54))</f>
        <v>115.75</v>
      </c>
      <c r="C89" s="161">
        <f>ABS(AVERAGE(R51,R52)-AVERAGE(R53,R54))</f>
        <v>34.527777777777828</v>
      </c>
      <c r="D89" s="178">
        <f>ABS(AVERAGE(S51,S52)-AVERAGE(S53,S54))</f>
        <v>37.837346670485395</v>
      </c>
      <c r="E89" s="178">
        <f>ABS(AVERAGE(W51,W52)-AVERAGE(W53,W54))</f>
        <v>7.6031813670066626</v>
      </c>
      <c r="F89" s="162">
        <f>ABS(AVERAGE(Y51,Y52)-AVERAGE(Y53,Y54))</f>
        <v>0.10564727842749733</v>
      </c>
      <c r="G89" s="109">
        <f>RANK(C89,C$89:C$91)</f>
        <v>3</v>
      </c>
      <c r="H89" s="102">
        <f>RANK(E89,E$89:E$91)</f>
        <v>1</v>
      </c>
      <c r="I89" s="109">
        <f>RANK(F89,$F$89:$F$91)</f>
        <v>3</v>
      </c>
      <c r="K89" s="169" t="s">
        <v>134</v>
      </c>
      <c r="L89" s="191">
        <f>AVERAGE(Y51,Y53)</f>
        <v>57.916365571821558</v>
      </c>
      <c r="M89" s="192">
        <f>AVERAGE(Y52,Y54)</f>
        <v>56.891718433224739</v>
      </c>
      <c r="N89" s="193">
        <f>L89-M89</f>
        <v>1.0246471385968192</v>
      </c>
      <c r="P89" s="187"/>
    </row>
    <row r="90" spans="1:20" ht="33" thickBot="1" x14ac:dyDescent="0.35">
      <c r="A90" s="169" t="s">
        <v>134</v>
      </c>
      <c r="B90" s="173">
        <f>ABS(AVERAGE(N51,N53)-AVERAGE(N52,N54))</f>
        <v>157.08333333333337</v>
      </c>
      <c r="C90" s="175">
        <f>ABS(AVERAGE(R51,R53)-AVERAGE(R52,R54))</f>
        <v>104.30555555555554</v>
      </c>
      <c r="D90" s="174">
        <f>ABS(AVERAGE(S51,S53)-AVERAGE(S52,S54))</f>
        <v>40.335090132586551</v>
      </c>
      <c r="E90" s="174">
        <f>ABS(AVERAGE(W51,W53)-AVERAGE(W52,W54))</f>
        <v>2.7325378758595349</v>
      </c>
      <c r="F90" s="176">
        <f>ABS(AVERAGE(Y51,Y53)-AVERAGE(Y52,Y54))</f>
        <v>1.0246471385968192</v>
      </c>
      <c r="G90" s="167">
        <f>RANK(C90,C$89:C$91)</f>
        <v>1</v>
      </c>
      <c r="H90" s="177">
        <f>RANK(E90,E$89:E$91)</f>
        <v>3</v>
      </c>
      <c r="I90" s="167">
        <f>RANK(F90,$F$89:$F$91)</f>
        <v>1</v>
      </c>
      <c r="K90" s="179" t="s">
        <v>133</v>
      </c>
      <c r="L90" s="194">
        <f>AVERAGE(Y51,Y54)</f>
        <v>57.622433064873476</v>
      </c>
      <c r="M90" s="195">
        <f>AVERAGE(Y52,Y53)</f>
        <v>57.18565094017282</v>
      </c>
      <c r="N90" s="196">
        <f>L90-M90</f>
        <v>0.43678212470065603</v>
      </c>
      <c r="P90" s="187"/>
    </row>
    <row r="91" spans="1:20" ht="33" thickBot="1" x14ac:dyDescent="0.35">
      <c r="A91" s="179" t="s">
        <v>133</v>
      </c>
      <c r="B91" s="180">
        <f>ABS(AVERAGE(N51,N54)-AVERAGE(N52,N53))</f>
        <v>48.25</v>
      </c>
      <c r="C91" s="182">
        <f>ABS(AVERAGE(R51,R54)-AVERAGE(R52,R53))</f>
        <v>35.027777777777828</v>
      </c>
      <c r="D91" s="181">
        <f>ABS(AVERAGE(S51,S54)-AVERAGE(S52,S53))</f>
        <v>26.292405812944612</v>
      </c>
      <c r="E91" s="181">
        <f>ABS(AVERAGE(W51,W54)-AVERAGE(W52,W53))</f>
        <v>6.1311597149945598</v>
      </c>
      <c r="F91" s="183">
        <f>ABS(AVERAGE(Y51,Y54)-AVERAGE(Y52,Y53))</f>
        <v>0.43678212470065603</v>
      </c>
      <c r="G91" s="184">
        <f>RANK(C91,C$89:C$91)</f>
        <v>2</v>
      </c>
      <c r="H91" s="185">
        <f>RANK(E91,E$89:E$91)</f>
        <v>2</v>
      </c>
      <c r="I91" s="184">
        <f>RANK(F91,$F$89:$F$91)</f>
        <v>2</v>
      </c>
      <c r="P91" s="187"/>
    </row>
    <row r="92" spans="1:20" x14ac:dyDescent="0.3">
      <c r="B92" s="42"/>
      <c r="C92" s="42"/>
      <c r="D92" s="42"/>
      <c r="E92" s="42"/>
      <c r="F92" s="42"/>
      <c r="G92" s="42"/>
      <c r="H92" s="42"/>
    </row>
  </sheetData>
  <mergeCells count="80">
    <mergeCell ref="G87:I87"/>
    <mergeCell ref="B61:C61"/>
    <mergeCell ref="D61:E61"/>
    <mergeCell ref="J61:L61"/>
    <mergeCell ref="B87:C87"/>
    <mergeCell ref="D87:E87"/>
    <mergeCell ref="G61:I61"/>
    <mergeCell ref="AK25:AK26"/>
    <mergeCell ref="Z49:Z50"/>
    <mergeCell ref="AA49:AA50"/>
    <mergeCell ref="AB49:AB50"/>
    <mergeCell ref="AD49:AD50"/>
    <mergeCell ref="AC49:AC50"/>
    <mergeCell ref="Z48:AD48"/>
    <mergeCell ref="AI25:AI26"/>
    <mergeCell ref="X48:Y48"/>
    <mergeCell ref="T49:T50"/>
    <mergeCell ref="U49:U50"/>
    <mergeCell ref="V49:V50"/>
    <mergeCell ref="W49:W50"/>
    <mergeCell ref="X49:X50"/>
    <mergeCell ref="Y49:Y50"/>
    <mergeCell ref="R49:R50"/>
    <mergeCell ref="S49:S50"/>
    <mergeCell ref="N48:R48"/>
    <mergeCell ref="S48:W48"/>
    <mergeCell ref="N49:N50"/>
    <mergeCell ref="O49:O50"/>
    <mergeCell ref="A25:A26"/>
    <mergeCell ref="I25:K25"/>
    <mergeCell ref="L25:M25"/>
    <mergeCell ref="P49:P50"/>
    <mergeCell ref="Q49:Q50"/>
    <mergeCell ref="B48:D48"/>
    <mergeCell ref="E48:M48"/>
    <mergeCell ref="E49:G49"/>
    <mergeCell ref="H49:I49"/>
    <mergeCell ref="L49:M49"/>
    <mergeCell ref="J49:K49"/>
    <mergeCell ref="A49:A50"/>
    <mergeCell ref="R24:V24"/>
    <mergeCell ref="AA3:AB3"/>
    <mergeCell ref="AC3:AD3"/>
    <mergeCell ref="AE25:AE26"/>
    <mergeCell ref="AH25:AH26"/>
    <mergeCell ref="AG25:AG26"/>
    <mergeCell ref="AE24:AJ24"/>
    <mergeCell ref="AJ25:AJ26"/>
    <mergeCell ref="AD25:AD26"/>
    <mergeCell ref="AA25:AA26"/>
    <mergeCell ref="R25:R26"/>
    <mergeCell ref="S25:S26"/>
    <mergeCell ref="T25:T26"/>
    <mergeCell ref="U25:U26"/>
    <mergeCell ref="V25:V26"/>
    <mergeCell ref="AF25:AF26"/>
    <mergeCell ref="A2:A3"/>
    <mergeCell ref="I2:J2"/>
    <mergeCell ref="K2:L2"/>
    <mergeCell ref="T2:V2"/>
    <mergeCell ref="W2:AD2"/>
    <mergeCell ref="S3:S4"/>
    <mergeCell ref="W3:X3"/>
    <mergeCell ref="Y3:Z3"/>
    <mergeCell ref="AB24:AC24"/>
    <mergeCell ref="AB25:AB26"/>
    <mergeCell ref="AC25:AC26"/>
    <mergeCell ref="W24:AA24"/>
    <mergeCell ref="W25:W26"/>
    <mergeCell ref="Z25:Z26"/>
    <mergeCell ref="X25:X26"/>
    <mergeCell ref="Y25:Y26"/>
    <mergeCell ref="B1:H1"/>
    <mergeCell ref="I1:P1"/>
    <mergeCell ref="I24:Q24"/>
    <mergeCell ref="B24:H24"/>
    <mergeCell ref="N25:O25"/>
    <mergeCell ref="P25:Q25"/>
    <mergeCell ref="M2:N2"/>
    <mergeCell ref="O2:P2"/>
  </mergeCells>
  <phoneticPr fontId="1" type="noConversion"/>
  <conditionalFormatting sqref="N51:N55">
    <cfRule type="top10" dxfId="23" priority="13" percent="1" rank="10"/>
  </conditionalFormatting>
  <conditionalFormatting sqref="O51:O55">
    <cfRule type="top10" dxfId="22" priority="12" percent="1" rank="10"/>
  </conditionalFormatting>
  <conditionalFormatting sqref="P51:P55">
    <cfRule type="top10" dxfId="21" priority="11" percent="1" rank="10"/>
  </conditionalFormatting>
  <conditionalFormatting sqref="Q51:Q55">
    <cfRule type="top10" dxfId="20" priority="10" percent="1" rank="10"/>
  </conditionalFormatting>
  <conditionalFormatting sqref="R27:R43">
    <cfRule type="aboveAverage" dxfId="19" priority="41"/>
  </conditionalFormatting>
  <conditionalFormatting sqref="R51:R55">
    <cfRule type="top10" dxfId="18" priority="9" percent="1" rank="10"/>
  </conditionalFormatting>
  <conditionalFormatting sqref="S27:S43">
    <cfRule type="aboveAverage" dxfId="17" priority="40"/>
  </conditionalFormatting>
  <conditionalFormatting sqref="S51:S55">
    <cfRule type="top10" dxfId="16" priority="6" percent="1" bottom="1" rank="10"/>
  </conditionalFormatting>
  <conditionalFormatting sqref="T27:T43">
    <cfRule type="aboveAverage" dxfId="15" priority="39"/>
  </conditionalFormatting>
  <conditionalFormatting sqref="T51:T55">
    <cfRule type="top10" dxfId="14" priority="7" percent="1" bottom="1" rank="10"/>
  </conditionalFormatting>
  <conditionalFormatting sqref="U27:U43">
    <cfRule type="aboveAverage" dxfId="13" priority="38"/>
  </conditionalFormatting>
  <conditionalFormatting sqref="U51:U55">
    <cfRule type="top10" dxfId="12" priority="5" percent="1" bottom="1" rank="10"/>
  </conditionalFormatting>
  <conditionalFormatting sqref="V27:V43">
    <cfRule type="aboveAverage" dxfId="11" priority="37"/>
  </conditionalFormatting>
  <conditionalFormatting sqref="V51:V55">
    <cfRule type="top10" dxfId="10" priority="4" percent="1" bottom="1" rank="10"/>
  </conditionalFormatting>
  <conditionalFormatting sqref="W27:W43">
    <cfRule type="aboveAverage" dxfId="9" priority="36" aboveAverage="0"/>
  </conditionalFormatting>
  <conditionalFormatting sqref="W51:W55">
    <cfRule type="top10" dxfId="8" priority="3" percent="1" bottom="1" rank="10"/>
  </conditionalFormatting>
  <conditionalFormatting sqref="X27:X43">
    <cfRule type="aboveAverage" dxfId="7" priority="35" aboveAverage="0"/>
  </conditionalFormatting>
  <conditionalFormatting sqref="X51:X55">
    <cfRule type="top10" dxfId="6" priority="2" percent="1" rank="10"/>
  </conditionalFormatting>
  <conditionalFormatting sqref="Y27:Y43">
    <cfRule type="aboveAverage" dxfId="5" priority="34" aboveAverage="0"/>
  </conditionalFormatting>
  <conditionalFormatting sqref="Y51:Y55">
    <cfRule type="top10" dxfId="4" priority="1" percent="1" rank="10"/>
  </conditionalFormatting>
  <conditionalFormatting sqref="Z27:Z43">
    <cfRule type="aboveAverage" dxfId="3" priority="32" aboveAverage="0"/>
  </conditionalFormatting>
  <conditionalFormatting sqref="AA27:AA43">
    <cfRule type="aboveAverage" dxfId="2" priority="33" aboveAverage="0"/>
  </conditionalFormatting>
  <conditionalFormatting sqref="AB27:AB43">
    <cfRule type="aboveAverage" dxfId="1" priority="28"/>
  </conditionalFormatting>
  <conditionalFormatting sqref="AC27:AC43">
    <cfRule type="aboveAverage" dxfId="0" priority="27"/>
  </conditionalFormatting>
  <conditionalFormatting sqref="AD27:AD4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5952-2DC3-4FB4-81EE-82952AB982BD}">
  <dimension ref="A1:AL29"/>
  <sheetViews>
    <sheetView topLeftCell="X1" zoomScale="87" zoomScaleNormal="71" workbookViewId="0">
      <selection activeCell="AH16" sqref="AH16"/>
    </sheetView>
  </sheetViews>
  <sheetFormatPr defaultRowHeight="16.2" x14ac:dyDescent="0.3"/>
  <cols>
    <col min="2" max="5" width="11.33203125" customWidth="1"/>
    <col min="28" max="28" width="10.88671875" bestFit="1" customWidth="1"/>
  </cols>
  <sheetData>
    <row r="1" spans="1:38" ht="16.2" customHeight="1" thickBot="1" x14ac:dyDescent="0.35">
      <c r="AH1" t="s">
        <v>249</v>
      </c>
    </row>
    <row r="2" spans="1:38" ht="65.400000000000006" customHeight="1" thickBot="1" x14ac:dyDescent="0.35">
      <c r="A2" s="44" t="s">
        <v>173</v>
      </c>
      <c r="B2" s="331" t="s">
        <v>20</v>
      </c>
      <c r="C2" s="333"/>
      <c r="D2" s="338"/>
      <c r="E2" s="333" t="s">
        <v>180</v>
      </c>
      <c r="F2" s="333"/>
      <c r="G2" s="333"/>
      <c r="H2" s="333"/>
      <c r="I2" s="333"/>
      <c r="J2" s="333"/>
      <c r="K2" s="333"/>
      <c r="L2" s="333"/>
      <c r="M2" s="333"/>
      <c r="N2" s="331" t="s">
        <v>156</v>
      </c>
      <c r="O2" s="333"/>
      <c r="P2" s="333"/>
      <c r="Q2" s="333"/>
      <c r="R2" s="333"/>
      <c r="S2" s="338"/>
      <c r="T2" s="343" t="s">
        <v>157</v>
      </c>
      <c r="U2" s="343"/>
      <c r="V2" s="343"/>
      <c r="W2" s="343"/>
      <c r="X2" s="343"/>
      <c r="Y2" s="343"/>
      <c r="Z2" s="331" t="s">
        <v>158</v>
      </c>
      <c r="AA2" s="338"/>
      <c r="AB2" s="45" t="s">
        <v>159</v>
      </c>
      <c r="AC2" s="342" t="s">
        <v>181</v>
      </c>
      <c r="AD2" s="343"/>
      <c r="AE2" s="343"/>
      <c r="AF2" s="343"/>
      <c r="AG2" s="344"/>
      <c r="AH2" s="345" t="s">
        <v>248</v>
      </c>
      <c r="AI2" s="346"/>
      <c r="AJ2" s="346"/>
      <c r="AK2" s="347"/>
    </row>
    <row r="3" spans="1:38" s="267" customFormat="1" x14ac:dyDescent="0.3">
      <c r="A3" s="331" t="s">
        <v>54</v>
      </c>
      <c r="B3" s="44" t="s">
        <v>168</v>
      </c>
      <c r="C3" s="45" t="s">
        <v>171</v>
      </c>
      <c r="D3" s="46" t="s">
        <v>185</v>
      </c>
      <c r="E3" s="331" t="s">
        <v>30</v>
      </c>
      <c r="F3" s="333"/>
      <c r="G3" s="333"/>
      <c r="H3" s="333" t="s">
        <v>32</v>
      </c>
      <c r="I3" s="333"/>
      <c r="J3" s="333" t="s">
        <v>60</v>
      </c>
      <c r="K3" s="333"/>
      <c r="L3" s="333" t="s">
        <v>35</v>
      </c>
      <c r="M3" s="333"/>
      <c r="N3" s="331" t="s">
        <v>30</v>
      </c>
      <c r="O3" s="333" t="s">
        <v>32</v>
      </c>
      <c r="P3" s="333" t="s">
        <v>60</v>
      </c>
      <c r="Q3" s="333" t="s">
        <v>35</v>
      </c>
      <c r="R3" s="340" t="s">
        <v>175</v>
      </c>
      <c r="S3" s="338" t="s">
        <v>135</v>
      </c>
      <c r="T3" s="333" t="s">
        <v>30</v>
      </c>
      <c r="U3" s="333" t="s">
        <v>32</v>
      </c>
      <c r="V3" s="333" t="s">
        <v>60</v>
      </c>
      <c r="W3" s="333" t="s">
        <v>35</v>
      </c>
      <c r="X3" s="340" t="s">
        <v>208</v>
      </c>
      <c r="Y3" s="333" t="s">
        <v>91</v>
      </c>
      <c r="Z3" s="331" t="s">
        <v>31</v>
      </c>
      <c r="AA3" s="338" t="s">
        <v>162</v>
      </c>
      <c r="AB3" s="333" t="s">
        <v>163</v>
      </c>
      <c r="AC3" s="331" t="s">
        <v>175</v>
      </c>
      <c r="AD3" s="333" t="s">
        <v>160</v>
      </c>
      <c r="AE3" s="333" t="s">
        <v>176</v>
      </c>
      <c r="AF3" s="333" t="s">
        <v>161</v>
      </c>
      <c r="AG3" s="338" t="s">
        <v>107</v>
      </c>
      <c r="AH3" s="331" t="s">
        <v>32</v>
      </c>
      <c r="AI3" s="333" t="s">
        <v>60</v>
      </c>
      <c r="AJ3" s="333" t="s">
        <v>35</v>
      </c>
      <c r="AK3" s="335" t="s">
        <v>175</v>
      </c>
      <c r="AL3" s="337"/>
    </row>
    <row r="4" spans="1:38" s="267" customFormat="1" ht="16.8" thickBot="1" x14ac:dyDescent="0.35">
      <c r="A4" s="332"/>
      <c r="B4" s="66">
        <v>1</v>
      </c>
      <c r="C4" s="65">
        <v>2</v>
      </c>
      <c r="D4" s="67">
        <v>3</v>
      </c>
      <c r="E4" s="66" t="s">
        <v>55</v>
      </c>
      <c r="F4" s="65" t="s">
        <v>56</v>
      </c>
      <c r="G4" s="65" t="s">
        <v>164</v>
      </c>
      <c r="H4" s="65" t="s">
        <v>165</v>
      </c>
      <c r="I4" s="65" t="s">
        <v>166</v>
      </c>
      <c r="J4" s="65" t="s">
        <v>57</v>
      </c>
      <c r="K4" s="65" t="s">
        <v>58</v>
      </c>
      <c r="L4" s="65" t="s">
        <v>59</v>
      </c>
      <c r="M4" s="65" t="s">
        <v>167</v>
      </c>
      <c r="N4" s="332"/>
      <c r="O4" s="334"/>
      <c r="P4" s="334"/>
      <c r="Q4" s="334"/>
      <c r="R4" s="341"/>
      <c r="S4" s="339"/>
      <c r="T4" s="334"/>
      <c r="U4" s="334"/>
      <c r="V4" s="334"/>
      <c r="W4" s="334"/>
      <c r="X4" s="341"/>
      <c r="Y4" s="334"/>
      <c r="Z4" s="332"/>
      <c r="AA4" s="339"/>
      <c r="AB4" s="334"/>
      <c r="AC4" s="332"/>
      <c r="AD4" s="334"/>
      <c r="AE4" s="334"/>
      <c r="AF4" s="334"/>
      <c r="AG4" s="339"/>
      <c r="AH4" s="332"/>
      <c r="AI4" s="334"/>
      <c r="AJ4" s="334"/>
      <c r="AK4" s="336"/>
      <c r="AL4" s="337"/>
    </row>
    <row r="5" spans="1:38" ht="16.2" customHeight="1" x14ac:dyDescent="0.3">
      <c r="A5" s="68">
        <v>23</v>
      </c>
      <c r="B5" s="68" t="s">
        <v>170</v>
      </c>
      <c r="C5" s="62" t="s">
        <v>170</v>
      </c>
      <c r="D5" s="69" t="s">
        <v>170</v>
      </c>
      <c r="E5" s="68">
        <v>1107</v>
      </c>
      <c r="F5" s="62">
        <v>1157</v>
      </c>
      <c r="G5" s="62">
        <v>1127</v>
      </c>
      <c r="H5" s="64">
        <v>854</v>
      </c>
      <c r="I5" s="64">
        <v>811</v>
      </c>
      <c r="J5" s="64">
        <v>765</v>
      </c>
      <c r="K5" s="64">
        <v>713</v>
      </c>
      <c r="L5" s="64">
        <v>700</v>
      </c>
      <c r="M5" s="64">
        <v>698</v>
      </c>
      <c r="N5" s="85">
        <f t="shared" ref="N5:N12" si="0">AVERAGE(E5,F5,G5)</f>
        <v>1130.3333333333333</v>
      </c>
      <c r="O5" s="86">
        <f t="shared" ref="O5:O12" si="1">AVERAGE(H5,I5)</f>
        <v>832.5</v>
      </c>
      <c r="P5" s="86">
        <f t="shared" ref="P5:P12" si="2">AVERAGE(J5,K5)</f>
        <v>739</v>
      </c>
      <c r="Q5" s="86">
        <f t="shared" ref="Q5:Q12" si="3">AVERAGE(L5,M5)</f>
        <v>699</v>
      </c>
      <c r="R5" s="86">
        <f t="shared" ref="R5:R12" si="4">AVERAGE(O5,P5,Q5)</f>
        <v>756.83333333333337</v>
      </c>
      <c r="S5" s="91">
        <f t="shared" ref="S5:S12" si="5">AVERAGE(E5:M5)</f>
        <v>881.33333333333337</v>
      </c>
      <c r="T5" s="86">
        <f t="shared" ref="T5:T12" si="6">_xlfn.STDEV.S(E5,F5,G5)</f>
        <v>25.166114784235834</v>
      </c>
      <c r="U5" s="86">
        <f t="shared" ref="U5:U12" si="7">_xlfn.STDEV.S(H5,I5)</f>
        <v>30.405591591021544</v>
      </c>
      <c r="V5" s="86">
        <f t="shared" ref="V5:V12" si="8">_xlfn.STDEV.S(J5,K5)</f>
        <v>36.76955262170047</v>
      </c>
      <c r="W5" s="86">
        <f t="shared" ref="W5:W12" si="9">_xlfn.STDEV.S(L5,M5)</f>
        <v>1.4142135623730951</v>
      </c>
      <c r="X5" s="86">
        <f t="shared" ref="X5:X12" si="10">AVERAGE(U5,V5,W5)</f>
        <v>22.863119258365035</v>
      </c>
      <c r="Y5" s="86">
        <f>AVERAGE(T5:W5)</f>
        <v>23.438868139832735</v>
      </c>
      <c r="Z5" s="222">
        <f t="shared" ref="Z5:Z12" si="11">-10*LOG10(1/3*((1/$E5)^2+(1/$F5)^2+(1/$G5)^2))</f>
        <v>61.059848633876861</v>
      </c>
      <c r="AA5" s="223">
        <f>-10*LOG10(1/9*((1/$E5)^2+(1/$F5)^2+(1/$G5)^2+(1/$H5)^2+(1/I5)^2+(1/$J5)^2+(1/$K5)^2+(1/$L5)^2+(1/$M5)^2))</f>
        <v>58.399290173584824</v>
      </c>
      <c r="AB5" s="142">
        <v>1</v>
      </c>
      <c r="AC5" s="285">
        <f>RANK(R5,R$5:R$12)</f>
        <v>4</v>
      </c>
      <c r="AD5" s="111">
        <f>RANK(S5,S$5:S$12)</f>
        <v>1</v>
      </c>
      <c r="AE5" s="136">
        <f>RANK(X5,X$5:X$12,1)</f>
        <v>4</v>
      </c>
      <c r="AF5" s="136">
        <f>RANK(Y5,Y$5:Y$12,1)</f>
        <v>4</v>
      </c>
      <c r="AG5" s="275">
        <f>RANK(AA5,AA$5:AA$12)</f>
        <v>4</v>
      </c>
      <c r="AH5" s="315">
        <f>IF(O22&lt;20,(40-U5/2)+20,(40-U5/2)+(20-((O22-20)*4/5)))</f>
        <v>-48.802795795510768</v>
      </c>
      <c r="AI5">
        <f t="shared" ref="AI5:AK12" si="12">IF(P22&lt;20,(40-V5/2)+20,(40-V5/2)+(20-((P22-20)*4/5)))</f>
        <v>-2.3847763108502349</v>
      </c>
      <c r="AJ5">
        <f t="shared" si="12"/>
        <v>59.292893218813454</v>
      </c>
      <c r="AK5" s="320">
        <f t="shared" si="12"/>
        <v>4.0351070374841456</v>
      </c>
    </row>
    <row r="6" spans="1:38" ht="16.2" customHeight="1" x14ac:dyDescent="0.3">
      <c r="A6" s="157">
        <v>24</v>
      </c>
      <c r="B6" s="74" t="s">
        <v>170</v>
      </c>
      <c r="C6" s="75" t="s">
        <v>169</v>
      </c>
      <c r="D6" s="76" t="s">
        <v>170</v>
      </c>
      <c r="E6" s="74">
        <v>1280</v>
      </c>
      <c r="F6" s="75">
        <v>1268</v>
      </c>
      <c r="G6" s="75">
        <v>1270</v>
      </c>
      <c r="H6" s="77">
        <v>706</v>
      </c>
      <c r="I6" s="77">
        <v>700</v>
      </c>
      <c r="J6" s="77">
        <v>500</v>
      </c>
      <c r="K6" s="77">
        <v>505</v>
      </c>
      <c r="L6" s="77">
        <v>442</v>
      </c>
      <c r="M6" s="77">
        <v>420</v>
      </c>
      <c r="N6" s="87">
        <f t="shared" si="0"/>
        <v>1272.6666666666667</v>
      </c>
      <c r="O6" s="88">
        <f t="shared" si="1"/>
        <v>703</v>
      </c>
      <c r="P6" s="88">
        <f t="shared" si="2"/>
        <v>502.5</v>
      </c>
      <c r="Q6" s="88">
        <f t="shared" si="3"/>
        <v>431</v>
      </c>
      <c r="R6" s="88">
        <f t="shared" si="4"/>
        <v>545.5</v>
      </c>
      <c r="S6" s="89">
        <f t="shared" si="5"/>
        <v>787.88888888888891</v>
      </c>
      <c r="T6" s="88">
        <f t="shared" si="6"/>
        <v>6.429100507328636</v>
      </c>
      <c r="U6" s="88">
        <f t="shared" si="7"/>
        <v>4.2426406871192848</v>
      </c>
      <c r="V6" s="88">
        <f t="shared" si="8"/>
        <v>3.5355339059327378</v>
      </c>
      <c r="W6" s="88">
        <f t="shared" si="9"/>
        <v>15.556349186104045</v>
      </c>
      <c r="X6" s="88">
        <f t="shared" si="10"/>
        <v>7.7781745930520225</v>
      </c>
      <c r="Y6" s="88">
        <f t="shared" ref="Y6:Y12" si="13">AVERAGE(T6:W6)</f>
        <v>7.4409060716211766</v>
      </c>
      <c r="Z6" s="224">
        <f t="shared" si="11"/>
        <v>62.094072493073675</v>
      </c>
      <c r="AA6" s="225">
        <f t="shared" ref="AA6:AA12" si="14">-10*LOG10(1/9*((1/$E6)^2+(1/$F6)^2+(1/$G6)^2+(1/$H6)^2+(1/$I6)^2+(1/$J6)^2+(1/$K6)^2+(1/$L6)^2+(1/$M6)^2))</f>
        <v>55.631631534235936</v>
      </c>
      <c r="AB6" s="143">
        <f>3/9</f>
        <v>0.33333333333333331</v>
      </c>
      <c r="AC6" s="265">
        <f t="shared" ref="AC6:AC12" si="15">RANK(R6,R$5:R$12)</f>
        <v>8</v>
      </c>
      <c r="AD6" s="133">
        <f t="shared" ref="AD6:AD12" si="16">RANK(S6,S$5:S$12)</f>
        <v>7</v>
      </c>
      <c r="AE6" s="104">
        <f t="shared" ref="AE6:AE12" si="17">RANK(X6,X$5:X$12,1)</f>
        <v>1</v>
      </c>
      <c r="AF6" s="104">
        <f t="shared" ref="AF6:AF12" si="18">RANK(Y6,Y$5:Y$12,1)</f>
        <v>1</v>
      </c>
      <c r="AG6" s="268">
        <f t="shared" ref="AG6:AG12" si="19">RANK(AA6,AA$5:AA$12)</f>
        <v>8</v>
      </c>
      <c r="AH6" s="315">
        <f t="shared" ref="AH6:AH12" si="20">IF(O23&lt;20,(40-U6/2)+20,(40-U6/2)+(20-((O23-20)*4/5)))</f>
        <v>39.878679656440355</v>
      </c>
      <c r="AI6">
        <f t="shared" si="12"/>
        <v>58.232233047033631</v>
      </c>
      <c r="AJ6">
        <f t="shared" si="12"/>
        <v>52.221825406947978</v>
      </c>
      <c r="AK6" s="320">
        <f t="shared" si="12"/>
        <v>56.110912703473986</v>
      </c>
    </row>
    <row r="7" spans="1:38" ht="16.2" customHeight="1" x14ac:dyDescent="0.3">
      <c r="A7" s="235">
        <v>25</v>
      </c>
      <c r="B7" s="279" t="s">
        <v>169</v>
      </c>
      <c r="C7" s="62" t="s">
        <v>170</v>
      </c>
      <c r="D7" s="69" t="s">
        <v>170</v>
      </c>
      <c r="E7" s="68">
        <v>887</v>
      </c>
      <c r="F7" s="62">
        <v>880</v>
      </c>
      <c r="G7" s="62">
        <v>987</v>
      </c>
      <c r="H7" s="64">
        <v>789</v>
      </c>
      <c r="I7" s="64">
        <v>775</v>
      </c>
      <c r="J7" s="64">
        <v>900</v>
      </c>
      <c r="K7" s="64">
        <v>918</v>
      </c>
      <c r="L7" s="64">
        <v>875</v>
      </c>
      <c r="M7" s="64">
        <v>880</v>
      </c>
      <c r="N7" s="85">
        <f t="shared" si="0"/>
        <v>918</v>
      </c>
      <c r="O7" s="86">
        <f t="shared" si="1"/>
        <v>782</v>
      </c>
      <c r="P7" s="86">
        <f t="shared" si="2"/>
        <v>909</v>
      </c>
      <c r="Q7" s="86">
        <f t="shared" si="3"/>
        <v>877.5</v>
      </c>
      <c r="R7" s="86">
        <f t="shared" si="4"/>
        <v>856.16666666666663</v>
      </c>
      <c r="S7" s="91">
        <f t="shared" si="5"/>
        <v>876.77777777777783</v>
      </c>
      <c r="T7" s="86">
        <f t="shared" si="6"/>
        <v>59.858165691908738</v>
      </c>
      <c r="U7" s="86">
        <f t="shared" si="7"/>
        <v>9.8994949366116654</v>
      </c>
      <c r="V7" s="86">
        <f t="shared" si="8"/>
        <v>12.727922061357855</v>
      </c>
      <c r="W7" s="86">
        <f t="shared" si="9"/>
        <v>3.5355339059327378</v>
      </c>
      <c r="X7" s="86">
        <f t="shared" si="10"/>
        <v>8.7209836346340861</v>
      </c>
      <c r="Y7" s="86">
        <f t="shared" si="13"/>
        <v>21.505279148952749</v>
      </c>
      <c r="Z7" s="222">
        <f t="shared" si="11"/>
        <v>59.221648166906817</v>
      </c>
      <c r="AA7" s="223">
        <f t="shared" si="14"/>
        <v>58.794697925072299</v>
      </c>
      <c r="AB7" s="142">
        <v>1</v>
      </c>
      <c r="AC7" s="235">
        <f t="shared" si="15"/>
        <v>1</v>
      </c>
      <c r="AD7" s="132">
        <f t="shared" si="16"/>
        <v>2</v>
      </c>
      <c r="AE7" s="136">
        <f t="shared" si="17"/>
        <v>2</v>
      </c>
      <c r="AF7" s="136">
        <f t="shared" si="18"/>
        <v>2</v>
      </c>
      <c r="AG7" s="236">
        <f t="shared" si="19"/>
        <v>1</v>
      </c>
      <c r="AH7" s="315">
        <f t="shared" si="20"/>
        <v>11.05025253169417</v>
      </c>
      <c r="AI7">
        <f t="shared" si="12"/>
        <v>21.636038969321071</v>
      </c>
      <c r="AJ7">
        <f t="shared" si="12"/>
        <v>20.232233047033631</v>
      </c>
      <c r="AK7" s="320">
        <f t="shared" si="12"/>
        <v>17.63950818268296</v>
      </c>
    </row>
    <row r="8" spans="1:38" ht="16.2" customHeight="1" x14ac:dyDescent="0.3">
      <c r="A8" s="74">
        <v>26</v>
      </c>
      <c r="B8" s="266" t="s">
        <v>169</v>
      </c>
      <c r="C8" s="75" t="s">
        <v>169</v>
      </c>
      <c r="D8" s="76" t="s">
        <v>170</v>
      </c>
      <c r="E8" s="93">
        <v>910</v>
      </c>
      <c r="F8" s="77">
        <v>980</v>
      </c>
      <c r="G8" s="77">
        <v>1002</v>
      </c>
      <c r="H8" s="77">
        <v>745</v>
      </c>
      <c r="I8" s="77">
        <v>830</v>
      </c>
      <c r="J8" s="77">
        <v>740</v>
      </c>
      <c r="K8" s="77">
        <v>680</v>
      </c>
      <c r="L8" s="77">
        <v>670</v>
      </c>
      <c r="M8" s="77">
        <v>720</v>
      </c>
      <c r="N8" s="87">
        <f t="shared" si="0"/>
        <v>964</v>
      </c>
      <c r="O8" s="88">
        <f t="shared" si="1"/>
        <v>787.5</v>
      </c>
      <c r="P8" s="88">
        <f t="shared" si="2"/>
        <v>710</v>
      </c>
      <c r="Q8" s="88">
        <f t="shared" si="3"/>
        <v>695</v>
      </c>
      <c r="R8" s="88">
        <f t="shared" si="4"/>
        <v>730.83333333333337</v>
      </c>
      <c r="S8" s="89">
        <f t="shared" si="5"/>
        <v>808.55555555555554</v>
      </c>
      <c r="T8" s="88">
        <f t="shared" si="6"/>
        <v>48.041648597857254</v>
      </c>
      <c r="U8" s="88">
        <f t="shared" si="7"/>
        <v>60.104076400856542</v>
      </c>
      <c r="V8" s="88">
        <f t="shared" si="8"/>
        <v>42.426406871192853</v>
      </c>
      <c r="W8" s="88">
        <f t="shared" si="9"/>
        <v>35.355339059327378</v>
      </c>
      <c r="X8" s="88">
        <f t="shared" si="10"/>
        <v>45.961940777125591</v>
      </c>
      <c r="Y8" s="88">
        <f t="shared" si="13"/>
        <v>46.481867732308508</v>
      </c>
      <c r="Z8" s="224">
        <f t="shared" si="11"/>
        <v>59.659295185444698</v>
      </c>
      <c r="AA8" s="225">
        <f t="shared" si="14"/>
        <v>57.885946889885993</v>
      </c>
      <c r="AB8" s="143">
        <v>0</v>
      </c>
      <c r="AC8" s="265">
        <f t="shared" si="15"/>
        <v>5</v>
      </c>
      <c r="AD8" s="133">
        <f t="shared" si="16"/>
        <v>5</v>
      </c>
      <c r="AE8" s="135">
        <f t="shared" si="17"/>
        <v>8</v>
      </c>
      <c r="AF8" s="135">
        <f t="shared" si="18"/>
        <v>7</v>
      </c>
      <c r="AG8" s="268">
        <f t="shared" si="19"/>
        <v>5</v>
      </c>
      <c r="AH8" s="315">
        <f t="shared" si="20"/>
        <v>13.947961799571729</v>
      </c>
      <c r="AI8">
        <f t="shared" si="12"/>
        <v>38.786796564403573</v>
      </c>
      <c r="AJ8">
        <f t="shared" si="12"/>
        <v>42.322330470336311</v>
      </c>
      <c r="AK8" s="320">
        <f t="shared" si="12"/>
        <v>32.752362944770539</v>
      </c>
    </row>
    <row r="9" spans="1:38" ht="16.2" customHeight="1" x14ac:dyDescent="0.3">
      <c r="A9" s="68">
        <v>22</v>
      </c>
      <c r="B9" s="68" t="s">
        <v>170</v>
      </c>
      <c r="C9" s="62" t="s">
        <v>170</v>
      </c>
      <c r="D9" s="69" t="s">
        <v>169</v>
      </c>
      <c r="E9" s="68">
        <v>975</v>
      </c>
      <c r="F9" s="62">
        <v>1186</v>
      </c>
      <c r="G9" s="62">
        <v>1032</v>
      </c>
      <c r="H9" s="62">
        <v>857</v>
      </c>
      <c r="I9" s="62">
        <v>860</v>
      </c>
      <c r="J9" s="62">
        <v>740</v>
      </c>
      <c r="K9" s="62">
        <v>764</v>
      </c>
      <c r="L9" s="62">
        <v>706</v>
      </c>
      <c r="M9" s="62">
        <v>717</v>
      </c>
      <c r="N9" s="85">
        <f t="shared" si="0"/>
        <v>1064.3333333333333</v>
      </c>
      <c r="O9" s="86">
        <f t="shared" si="1"/>
        <v>858.5</v>
      </c>
      <c r="P9" s="86">
        <f t="shared" si="2"/>
        <v>752</v>
      </c>
      <c r="Q9" s="86">
        <f t="shared" si="3"/>
        <v>711.5</v>
      </c>
      <c r="R9" s="86">
        <f t="shared" si="4"/>
        <v>774</v>
      </c>
      <c r="S9" s="91">
        <f t="shared" si="5"/>
        <v>870.77777777777783</v>
      </c>
      <c r="T9" s="86">
        <f t="shared" si="6"/>
        <v>109.15279810125497</v>
      </c>
      <c r="U9" s="86">
        <f t="shared" si="7"/>
        <v>2.1213203435596424</v>
      </c>
      <c r="V9" s="86">
        <f t="shared" si="8"/>
        <v>16.970562748477139</v>
      </c>
      <c r="W9" s="86">
        <f t="shared" si="9"/>
        <v>7.7781745930520225</v>
      </c>
      <c r="X9" s="86">
        <f t="shared" si="10"/>
        <v>8.9566858950296009</v>
      </c>
      <c r="Y9" s="86">
        <f t="shared" si="13"/>
        <v>34.005713946585949</v>
      </c>
      <c r="Z9" s="222">
        <f t="shared" si="11"/>
        <v>60.454645725678859</v>
      </c>
      <c r="AA9" s="223">
        <f t="shared" si="14"/>
        <v>58.434406197187059</v>
      </c>
      <c r="AB9" s="142">
        <v>1</v>
      </c>
      <c r="AC9" s="285">
        <f t="shared" si="15"/>
        <v>3</v>
      </c>
      <c r="AD9" s="132">
        <f t="shared" si="16"/>
        <v>3</v>
      </c>
      <c r="AE9" s="136">
        <f t="shared" si="17"/>
        <v>3</v>
      </c>
      <c r="AF9" s="136">
        <f t="shared" si="18"/>
        <v>6</v>
      </c>
      <c r="AG9" s="275">
        <f t="shared" si="19"/>
        <v>3</v>
      </c>
      <c r="AH9" s="315">
        <f t="shared" si="20"/>
        <v>18.939339828220177</v>
      </c>
      <c r="AI9">
        <f t="shared" si="12"/>
        <v>37.514718625761432</v>
      </c>
      <c r="AJ9">
        <f t="shared" si="12"/>
        <v>56.110912703473986</v>
      </c>
      <c r="AK9" s="320">
        <f t="shared" si="12"/>
        <v>38.854990385818525</v>
      </c>
    </row>
    <row r="10" spans="1:38" x14ac:dyDescent="0.3">
      <c r="A10" s="74">
        <v>17</v>
      </c>
      <c r="B10" s="74" t="s">
        <v>170</v>
      </c>
      <c r="C10" s="75" t="s">
        <v>169</v>
      </c>
      <c r="D10" s="76" t="s">
        <v>169</v>
      </c>
      <c r="E10" s="90">
        <v>1127</v>
      </c>
      <c r="F10" s="124">
        <v>1298</v>
      </c>
      <c r="G10" s="149">
        <v>1016</v>
      </c>
      <c r="H10" s="149">
        <v>809</v>
      </c>
      <c r="I10" s="149">
        <v>744</v>
      </c>
      <c r="J10" s="149">
        <v>628</v>
      </c>
      <c r="K10" s="149">
        <v>549</v>
      </c>
      <c r="L10" s="149">
        <v>514</v>
      </c>
      <c r="M10" s="149">
        <v>475</v>
      </c>
      <c r="N10" s="87">
        <f t="shared" si="0"/>
        <v>1147</v>
      </c>
      <c r="O10" s="88">
        <f t="shared" si="1"/>
        <v>776.5</v>
      </c>
      <c r="P10" s="88">
        <f t="shared" si="2"/>
        <v>588.5</v>
      </c>
      <c r="Q10" s="88">
        <f t="shared" si="3"/>
        <v>494.5</v>
      </c>
      <c r="R10" s="295">
        <f t="shared" si="4"/>
        <v>619.83333333333337</v>
      </c>
      <c r="S10" s="89">
        <f t="shared" si="5"/>
        <v>795.55555555555554</v>
      </c>
      <c r="T10" s="88">
        <f t="shared" si="6"/>
        <v>142.05984654363104</v>
      </c>
      <c r="U10" s="88">
        <f t="shared" si="7"/>
        <v>45.961940777125591</v>
      </c>
      <c r="V10" s="88">
        <f t="shared" si="8"/>
        <v>55.861435713737258</v>
      </c>
      <c r="W10" s="88">
        <f t="shared" si="9"/>
        <v>27.577164466275352</v>
      </c>
      <c r="X10" s="295">
        <f t="shared" si="10"/>
        <v>43.133513652379399</v>
      </c>
      <c r="Y10" s="88">
        <f t="shared" si="13"/>
        <v>67.865096875192307</v>
      </c>
      <c r="Z10" s="287">
        <f t="shared" si="11"/>
        <v>61.061246611569935</v>
      </c>
      <c r="AA10" s="288">
        <f t="shared" si="14"/>
        <v>56.585709641539665</v>
      </c>
      <c r="AB10" s="143">
        <f>2/9</f>
        <v>0.22222222222222221</v>
      </c>
      <c r="AC10" s="265">
        <f t="shared" si="15"/>
        <v>7</v>
      </c>
      <c r="AD10" s="133">
        <f t="shared" si="16"/>
        <v>6</v>
      </c>
      <c r="AE10" s="135">
        <f t="shared" si="17"/>
        <v>7</v>
      </c>
      <c r="AF10" s="135">
        <f t="shared" si="18"/>
        <v>8</v>
      </c>
      <c r="AG10" s="268">
        <f t="shared" si="19"/>
        <v>6</v>
      </c>
      <c r="AH10" s="315">
        <f t="shared" si="20"/>
        <v>29.019029611437205</v>
      </c>
      <c r="AI10">
        <f t="shared" si="12"/>
        <v>24.069282143131371</v>
      </c>
      <c r="AJ10">
        <f t="shared" si="12"/>
        <v>46.211417766862326</v>
      </c>
      <c r="AK10" s="320">
        <f t="shared" si="12"/>
        <v>33.099909840476968</v>
      </c>
    </row>
    <row r="11" spans="1:38" ht="16.2" customHeight="1" x14ac:dyDescent="0.3">
      <c r="A11" s="157">
        <v>27</v>
      </c>
      <c r="B11" s="266" t="s">
        <v>169</v>
      </c>
      <c r="C11" s="75" t="s">
        <v>170</v>
      </c>
      <c r="D11" s="76" t="s">
        <v>169</v>
      </c>
      <c r="E11" s="292">
        <v>883</v>
      </c>
      <c r="F11" s="78">
        <v>877</v>
      </c>
      <c r="G11" s="78">
        <v>887</v>
      </c>
      <c r="H11" s="78">
        <v>820</v>
      </c>
      <c r="I11" s="78">
        <v>830</v>
      </c>
      <c r="J11" s="78">
        <v>872</v>
      </c>
      <c r="K11" s="78">
        <v>818</v>
      </c>
      <c r="L11" s="78">
        <v>875</v>
      </c>
      <c r="M11" s="78">
        <v>816</v>
      </c>
      <c r="N11" s="87">
        <f t="shared" si="0"/>
        <v>882.33333333333337</v>
      </c>
      <c r="O11" s="88">
        <f t="shared" si="1"/>
        <v>825</v>
      </c>
      <c r="P11" s="88">
        <f t="shared" si="2"/>
        <v>845</v>
      </c>
      <c r="Q11" s="88">
        <f t="shared" si="3"/>
        <v>845.5</v>
      </c>
      <c r="R11" s="88">
        <f t="shared" si="4"/>
        <v>838.5</v>
      </c>
      <c r="S11" s="89">
        <f t="shared" si="5"/>
        <v>853.11111111111109</v>
      </c>
      <c r="T11" s="88">
        <f t="shared" si="6"/>
        <v>5.0332229568471663</v>
      </c>
      <c r="U11" s="88">
        <f t="shared" si="7"/>
        <v>7.0710678118654755</v>
      </c>
      <c r="V11" s="88">
        <f t="shared" si="8"/>
        <v>38.183766184073569</v>
      </c>
      <c r="W11" s="88">
        <f t="shared" si="9"/>
        <v>41.719300090006307</v>
      </c>
      <c r="X11" s="88">
        <f t="shared" si="10"/>
        <v>28.991378028648452</v>
      </c>
      <c r="Y11" s="88">
        <f t="shared" si="13"/>
        <v>23.001839260698127</v>
      </c>
      <c r="Z11" s="224">
        <f t="shared" si="11"/>
        <v>58.912370660894297</v>
      </c>
      <c r="AA11" s="225">
        <f t="shared" si="14"/>
        <v>58.604665206406295</v>
      </c>
      <c r="AB11" s="143">
        <v>1</v>
      </c>
      <c r="AC11" s="265">
        <f t="shared" si="15"/>
        <v>2</v>
      </c>
      <c r="AD11" s="133">
        <f t="shared" si="16"/>
        <v>4</v>
      </c>
      <c r="AE11" s="135">
        <f t="shared" si="17"/>
        <v>5</v>
      </c>
      <c r="AF11" s="135">
        <f t="shared" si="18"/>
        <v>3</v>
      </c>
      <c r="AG11" s="268">
        <f t="shared" si="19"/>
        <v>2</v>
      </c>
      <c r="AH11" s="315">
        <f t="shared" si="20"/>
        <v>20.464466094067262</v>
      </c>
      <c r="AI11">
        <f t="shared" si="12"/>
        <v>40.908116907963219</v>
      </c>
      <c r="AJ11">
        <f t="shared" si="12"/>
        <v>39.14034995499685</v>
      </c>
      <c r="AK11" s="320">
        <f t="shared" si="12"/>
        <v>35.904310985675771</v>
      </c>
    </row>
    <row r="12" spans="1:38" ht="16.2" customHeight="1" thickBot="1" x14ac:dyDescent="0.35">
      <c r="A12" s="66">
        <v>28</v>
      </c>
      <c r="B12" s="269" t="s">
        <v>169</v>
      </c>
      <c r="C12" s="65" t="s">
        <v>169</v>
      </c>
      <c r="D12" s="67" t="s">
        <v>169</v>
      </c>
      <c r="E12" s="293">
        <v>1000</v>
      </c>
      <c r="F12" s="294">
        <v>948</v>
      </c>
      <c r="G12" s="294">
        <v>980</v>
      </c>
      <c r="H12" s="294">
        <v>892</v>
      </c>
      <c r="I12" s="294">
        <v>920</v>
      </c>
      <c r="J12" s="294">
        <v>572</v>
      </c>
      <c r="K12" s="294">
        <v>505</v>
      </c>
      <c r="L12" s="294">
        <v>440</v>
      </c>
      <c r="M12" s="294">
        <v>487</v>
      </c>
      <c r="N12" s="281">
        <f t="shared" si="0"/>
        <v>976</v>
      </c>
      <c r="O12" s="277">
        <f t="shared" si="1"/>
        <v>906</v>
      </c>
      <c r="P12" s="277">
        <f t="shared" si="2"/>
        <v>538.5</v>
      </c>
      <c r="Q12" s="277">
        <f t="shared" si="3"/>
        <v>463.5</v>
      </c>
      <c r="R12" s="277">
        <f t="shared" si="4"/>
        <v>636</v>
      </c>
      <c r="S12" s="282">
        <f t="shared" si="5"/>
        <v>749.33333333333337</v>
      </c>
      <c r="T12" s="277">
        <f t="shared" si="6"/>
        <v>26.229754097208001</v>
      </c>
      <c r="U12" s="277">
        <f t="shared" si="7"/>
        <v>19.798989873223331</v>
      </c>
      <c r="V12" s="277">
        <f t="shared" si="8"/>
        <v>47.376154339498683</v>
      </c>
      <c r="W12" s="277">
        <f t="shared" si="9"/>
        <v>33.234018715767732</v>
      </c>
      <c r="X12" s="277">
        <f t="shared" si="10"/>
        <v>33.469720976163252</v>
      </c>
      <c r="Y12" s="277">
        <f t="shared" si="13"/>
        <v>31.659729256424438</v>
      </c>
      <c r="Z12" s="283">
        <f t="shared" si="11"/>
        <v>59.78266968611662</v>
      </c>
      <c r="AA12" s="284">
        <f t="shared" si="14"/>
        <v>56.127784475583198</v>
      </c>
      <c r="AB12" s="270">
        <v>0</v>
      </c>
      <c r="AC12" s="286">
        <f t="shared" si="15"/>
        <v>6</v>
      </c>
      <c r="AD12" s="271">
        <f t="shared" si="16"/>
        <v>8</v>
      </c>
      <c r="AE12" s="272">
        <f t="shared" si="17"/>
        <v>6</v>
      </c>
      <c r="AF12" s="272">
        <f t="shared" si="18"/>
        <v>5</v>
      </c>
      <c r="AG12" s="278">
        <f t="shared" si="19"/>
        <v>7</v>
      </c>
      <c r="AH12" s="316">
        <f t="shared" si="20"/>
        <v>40.100505063388333</v>
      </c>
      <c r="AI12" s="317">
        <f t="shared" si="12"/>
        <v>32.311922830250658</v>
      </c>
      <c r="AJ12" s="317">
        <f t="shared" si="12"/>
        <v>43.382990642116134</v>
      </c>
      <c r="AK12" s="321">
        <f t="shared" si="12"/>
        <v>41.265139511918377</v>
      </c>
    </row>
    <row r="13" spans="1:38" x14ac:dyDescent="0.3">
      <c r="A13" s="273" t="s">
        <v>182</v>
      </c>
    </row>
    <row r="14" spans="1:38" x14ac:dyDescent="0.3">
      <c r="A14" t="s">
        <v>183</v>
      </c>
      <c r="D14" s="273"/>
      <c r="L14" s="7"/>
      <c r="M14" s="7" t="s">
        <v>275</v>
      </c>
      <c r="O14">
        <v>11.827999999999999</v>
      </c>
      <c r="P14">
        <v>13.12</v>
      </c>
      <c r="Q14" s="7">
        <v>13.6</v>
      </c>
    </row>
    <row r="17" spans="1:33" x14ac:dyDescent="0.3">
      <c r="A17" s="62"/>
      <c r="B17" s="274"/>
      <c r="C17" s="274"/>
      <c r="D17" s="62"/>
      <c r="E17" s="62"/>
      <c r="F17" s="64"/>
      <c r="G17" s="64"/>
      <c r="H17" s="64"/>
      <c r="I17" s="64"/>
      <c r="J17" s="64"/>
    </row>
    <row r="18" spans="1:33" ht="16.8" thickBot="1" x14ac:dyDescent="0.35"/>
    <row r="19" spans="1:33" ht="32.4" customHeight="1" thickBot="1" x14ac:dyDescent="0.35">
      <c r="A19" s="44" t="s">
        <v>172</v>
      </c>
      <c r="B19" s="331" t="s">
        <v>20</v>
      </c>
      <c r="C19" s="333"/>
      <c r="D19" s="338"/>
      <c r="E19" s="333" t="s">
        <v>179</v>
      </c>
      <c r="F19" s="333"/>
      <c r="G19" s="333"/>
      <c r="H19" s="333"/>
      <c r="I19" s="333"/>
      <c r="J19" s="333"/>
      <c r="K19" s="333"/>
      <c r="L19" s="333"/>
      <c r="M19" s="333"/>
      <c r="N19" s="331" t="s">
        <v>174</v>
      </c>
      <c r="O19" s="333"/>
      <c r="P19" s="333"/>
      <c r="Q19" s="333"/>
      <c r="R19" s="333"/>
      <c r="S19" s="338"/>
      <c r="T19" s="343" t="s">
        <v>157</v>
      </c>
      <c r="U19" s="343"/>
      <c r="V19" s="343"/>
      <c r="W19" s="343"/>
      <c r="X19" s="343"/>
      <c r="Y19" s="343"/>
      <c r="Z19" s="331" t="s">
        <v>186</v>
      </c>
      <c r="AA19" s="338"/>
      <c r="AB19" s="45" t="s">
        <v>177</v>
      </c>
      <c r="AC19" s="342" t="s">
        <v>181</v>
      </c>
      <c r="AD19" s="343"/>
      <c r="AE19" s="343"/>
      <c r="AF19" s="343"/>
      <c r="AG19" s="344"/>
    </row>
    <row r="20" spans="1:33" ht="16.2" customHeight="1" x14ac:dyDescent="0.3">
      <c r="A20" s="331" t="s">
        <v>54</v>
      </c>
      <c r="B20" s="44" t="s">
        <v>168</v>
      </c>
      <c r="C20" s="45" t="s">
        <v>171</v>
      </c>
      <c r="D20" s="46" t="s">
        <v>185</v>
      </c>
      <c r="E20" s="331" t="s">
        <v>30</v>
      </c>
      <c r="F20" s="333"/>
      <c r="G20" s="333"/>
      <c r="H20" s="333" t="s">
        <v>32</v>
      </c>
      <c r="I20" s="333"/>
      <c r="J20" s="333" t="s">
        <v>60</v>
      </c>
      <c r="K20" s="333"/>
      <c r="L20" s="333" t="s">
        <v>35</v>
      </c>
      <c r="M20" s="333"/>
      <c r="N20" s="331" t="s">
        <v>30</v>
      </c>
      <c r="O20" s="333" t="s">
        <v>32</v>
      </c>
      <c r="P20" s="333" t="s">
        <v>60</v>
      </c>
      <c r="Q20" s="333" t="s">
        <v>35</v>
      </c>
      <c r="R20" s="340" t="s">
        <v>175</v>
      </c>
      <c r="S20" s="338" t="s">
        <v>135</v>
      </c>
      <c r="T20" s="333" t="s">
        <v>30</v>
      </c>
      <c r="U20" s="333" t="s">
        <v>32</v>
      </c>
      <c r="V20" s="333" t="s">
        <v>60</v>
      </c>
      <c r="W20" s="333" t="s">
        <v>35</v>
      </c>
      <c r="X20" s="340" t="s">
        <v>208</v>
      </c>
      <c r="Y20" s="333" t="s">
        <v>209</v>
      </c>
      <c r="Z20" s="331" t="s">
        <v>31</v>
      </c>
      <c r="AA20" s="338" t="s">
        <v>162</v>
      </c>
      <c r="AB20" s="333" t="s">
        <v>178</v>
      </c>
      <c r="AC20" s="331" t="s">
        <v>175</v>
      </c>
      <c r="AD20" s="333" t="s">
        <v>160</v>
      </c>
      <c r="AE20" s="333" t="s">
        <v>176</v>
      </c>
      <c r="AF20" s="333" t="s">
        <v>161</v>
      </c>
      <c r="AG20" s="338" t="s">
        <v>107</v>
      </c>
    </row>
    <row r="21" spans="1:33" ht="16.8" thickBot="1" x14ac:dyDescent="0.35">
      <c r="A21" s="332"/>
      <c r="B21" s="66">
        <v>1</v>
      </c>
      <c r="C21" s="65">
        <v>2</v>
      </c>
      <c r="D21" s="67">
        <v>3</v>
      </c>
      <c r="E21" s="66" t="s">
        <v>55</v>
      </c>
      <c r="F21" s="65" t="s">
        <v>56</v>
      </c>
      <c r="G21" s="65" t="s">
        <v>164</v>
      </c>
      <c r="H21" s="65" t="s">
        <v>165</v>
      </c>
      <c r="I21" s="65" t="s">
        <v>166</v>
      </c>
      <c r="J21" s="65" t="s">
        <v>57</v>
      </c>
      <c r="K21" s="65" t="s">
        <v>58</v>
      </c>
      <c r="L21" s="65" t="s">
        <v>59</v>
      </c>
      <c r="M21" s="65" t="s">
        <v>167</v>
      </c>
      <c r="N21" s="332"/>
      <c r="O21" s="334"/>
      <c r="P21" s="334"/>
      <c r="Q21" s="334"/>
      <c r="R21" s="341"/>
      <c r="S21" s="339"/>
      <c r="T21" s="334"/>
      <c r="U21" s="334"/>
      <c r="V21" s="334"/>
      <c r="W21" s="334"/>
      <c r="X21" s="341"/>
      <c r="Y21" s="334"/>
      <c r="Z21" s="332"/>
      <c r="AA21" s="339"/>
      <c r="AB21" s="334"/>
      <c r="AC21" s="332"/>
      <c r="AD21" s="334"/>
      <c r="AE21" s="334"/>
      <c r="AF21" s="334"/>
      <c r="AG21" s="339"/>
    </row>
    <row r="22" spans="1:33" x14ac:dyDescent="0.3">
      <c r="A22" s="68">
        <v>23</v>
      </c>
      <c r="B22" s="68" t="s">
        <v>170</v>
      </c>
      <c r="C22" s="62" t="s">
        <v>170</v>
      </c>
      <c r="D22" s="69" t="s">
        <v>170</v>
      </c>
      <c r="E22" s="92">
        <v>191</v>
      </c>
      <c r="F22" s="63">
        <v>237</v>
      </c>
      <c r="G22" s="63">
        <v>180</v>
      </c>
      <c r="H22" s="63">
        <v>120</v>
      </c>
      <c r="I22" s="63">
        <v>154</v>
      </c>
      <c r="J22" s="63">
        <v>80</v>
      </c>
      <c r="K22" s="63">
        <v>70</v>
      </c>
      <c r="L22" s="64">
        <v>10</v>
      </c>
      <c r="M22" s="64">
        <v>20</v>
      </c>
      <c r="N22" s="85">
        <f t="shared" ref="N22:N29" si="21">AVERAGE(E22,F22,G22)</f>
        <v>202.66666666666666</v>
      </c>
      <c r="O22" s="86">
        <f t="shared" ref="O22:O29" si="22">AVERAGE(H22,I22)</f>
        <v>137</v>
      </c>
      <c r="P22" s="86">
        <f t="shared" ref="P22:P29" si="23">AVERAGE(J22,K22)</f>
        <v>75</v>
      </c>
      <c r="Q22" s="86">
        <f t="shared" ref="Q22:Q29" si="24">AVERAGE(L22,M22)</f>
        <v>15</v>
      </c>
      <c r="R22" s="86">
        <f t="shared" ref="R22:R29" si="25">AVERAGE(O22,P22,Q22)</f>
        <v>75.666666666666671</v>
      </c>
      <c r="S22" s="91">
        <f t="shared" ref="S22:S29" si="26">AVERAGE(E22:M22)</f>
        <v>118</v>
      </c>
      <c r="T22" s="86">
        <f t="shared" ref="T22:T29" si="27">_xlfn.STDEV.S(E22,F22,G22)</f>
        <v>30.237945256470979</v>
      </c>
      <c r="U22" s="86">
        <f t="shared" ref="U22:U29" si="28">_xlfn.STDEV.S(H22,I22)</f>
        <v>24.041630560342615</v>
      </c>
      <c r="V22" s="86">
        <f t="shared" ref="V22:V29" si="29">_xlfn.STDEV.S(J22,K22)</f>
        <v>7.0710678118654755</v>
      </c>
      <c r="W22" s="86">
        <f t="shared" ref="W22:W29" si="30">_xlfn.STDEV.S(L22,M22)</f>
        <v>7.0710678118654755</v>
      </c>
      <c r="X22" s="86">
        <f t="shared" ref="X22:X29" si="31">AVERAGE(U22,V22,W22)</f>
        <v>12.727922061357853</v>
      </c>
      <c r="Y22" s="86">
        <f t="shared" ref="Y22:Y29" si="32">AVERAGE(T22:W22)</f>
        <v>17.105427860136135</v>
      </c>
      <c r="Z22" s="222">
        <f t="shared" ref="Z22:Z29" si="33">-10*LOG10(1/3*(($E22)^2+($F22)^2+($G22)^2))</f>
        <v>-46.199624413468584</v>
      </c>
      <c r="AA22" s="223">
        <f t="shared" ref="AA22:AA29" si="34">-10*LOG10(1/9*(($E22)^2+($F22)^2+($G22)^2+($H22)^2+(I22)^2+($J22)^2+($K22)^2+($L22)^2+($M22)^2))</f>
        <v>-42.887111538356365</v>
      </c>
      <c r="AB22" s="142">
        <f>7/9</f>
        <v>0.77777777777777779</v>
      </c>
      <c r="AC22" s="285">
        <f t="shared" ref="AC22:AD25" si="35">RANK(R22,R$22:R$29,1)</f>
        <v>8</v>
      </c>
      <c r="AD22" s="132">
        <f t="shared" si="35"/>
        <v>8</v>
      </c>
      <c r="AE22" s="136">
        <f t="shared" ref="AE22:AF25" si="36">RANK(X22,X$22:X$29,1)</f>
        <v>7</v>
      </c>
      <c r="AF22" s="136">
        <f t="shared" si="36"/>
        <v>7</v>
      </c>
      <c r="AG22" s="236">
        <f>RANK(AA22,AA$22:AA$29,1)</f>
        <v>1</v>
      </c>
    </row>
    <row r="23" spans="1:33" x14ac:dyDescent="0.3">
      <c r="A23" s="74">
        <v>24</v>
      </c>
      <c r="B23" s="74" t="s">
        <v>170</v>
      </c>
      <c r="C23" s="75" t="s">
        <v>169</v>
      </c>
      <c r="D23" s="76" t="s">
        <v>170</v>
      </c>
      <c r="E23" s="93">
        <v>50</v>
      </c>
      <c r="F23" s="77">
        <v>85</v>
      </c>
      <c r="G23" s="77">
        <v>120</v>
      </c>
      <c r="H23" s="77">
        <v>55</v>
      </c>
      <c r="I23" s="78">
        <v>30</v>
      </c>
      <c r="J23" s="78">
        <v>20</v>
      </c>
      <c r="K23" s="78">
        <v>5</v>
      </c>
      <c r="L23" s="78">
        <v>2</v>
      </c>
      <c r="M23" s="78">
        <v>2</v>
      </c>
      <c r="N23" s="87">
        <f t="shared" si="21"/>
        <v>85</v>
      </c>
      <c r="O23" s="88">
        <f t="shared" si="22"/>
        <v>42.5</v>
      </c>
      <c r="P23" s="88">
        <f t="shared" si="23"/>
        <v>12.5</v>
      </c>
      <c r="Q23" s="88">
        <f t="shared" si="24"/>
        <v>2</v>
      </c>
      <c r="R23" s="88">
        <f t="shared" si="25"/>
        <v>19</v>
      </c>
      <c r="S23" s="89">
        <f t="shared" si="26"/>
        <v>41</v>
      </c>
      <c r="T23" s="88">
        <f t="shared" si="27"/>
        <v>35</v>
      </c>
      <c r="U23" s="88">
        <f t="shared" si="28"/>
        <v>17.677669529663689</v>
      </c>
      <c r="V23" s="88">
        <f t="shared" si="29"/>
        <v>10.606601717798213</v>
      </c>
      <c r="W23" s="88">
        <f t="shared" si="30"/>
        <v>0</v>
      </c>
      <c r="X23" s="88">
        <f t="shared" si="31"/>
        <v>9.428090415820634</v>
      </c>
      <c r="Y23" s="88">
        <f t="shared" si="32"/>
        <v>15.821067811865476</v>
      </c>
      <c r="Z23" s="224">
        <f t="shared" si="33"/>
        <v>-39.053460672961677</v>
      </c>
      <c r="AA23" s="225">
        <f t="shared" si="34"/>
        <v>-35.003432204282177</v>
      </c>
      <c r="AB23" s="143">
        <f>4/9</f>
        <v>0.44444444444444442</v>
      </c>
      <c r="AC23" s="157">
        <f t="shared" si="35"/>
        <v>1</v>
      </c>
      <c r="AD23" s="133">
        <f t="shared" si="35"/>
        <v>4</v>
      </c>
      <c r="AE23" s="135">
        <f t="shared" si="36"/>
        <v>3</v>
      </c>
      <c r="AF23" s="135">
        <f t="shared" si="36"/>
        <v>6</v>
      </c>
      <c r="AG23" s="268">
        <f t="shared" ref="AG23:AG29" si="37">RANK(AA23,AA$22:AA$29,1)</f>
        <v>4</v>
      </c>
    </row>
    <row r="24" spans="1:33" x14ac:dyDescent="0.3">
      <c r="A24" s="68">
        <v>25</v>
      </c>
      <c r="B24" s="279" t="s">
        <v>169</v>
      </c>
      <c r="C24" s="62" t="s">
        <v>170</v>
      </c>
      <c r="D24" s="69" t="s">
        <v>170</v>
      </c>
      <c r="E24" s="92">
        <v>120</v>
      </c>
      <c r="F24" s="63">
        <v>125</v>
      </c>
      <c r="G24" s="63">
        <v>120</v>
      </c>
      <c r="H24" s="63">
        <v>50</v>
      </c>
      <c r="I24" s="63">
        <v>100</v>
      </c>
      <c r="J24" s="63">
        <v>60</v>
      </c>
      <c r="K24" s="63">
        <v>60</v>
      </c>
      <c r="L24" s="63">
        <v>90</v>
      </c>
      <c r="M24" s="63">
        <v>45</v>
      </c>
      <c r="N24" s="85">
        <f t="shared" si="21"/>
        <v>121.66666666666667</v>
      </c>
      <c r="O24" s="86">
        <f t="shared" si="22"/>
        <v>75</v>
      </c>
      <c r="P24" s="86">
        <f t="shared" si="23"/>
        <v>60</v>
      </c>
      <c r="Q24" s="86">
        <f t="shared" si="24"/>
        <v>67.5</v>
      </c>
      <c r="R24" s="86">
        <f t="shared" si="25"/>
        <v>67.5</v>
      </c>
      <c r="S24" s="91">
        <f t="shared" si="26"/>
        <v>85.555555555555557</v>
      </c>
      <c r="T24" s="86">
        <f t="shared" si="27"/>
        <v>2.8867513459481287</v>
      </c>
      <c r="U24" s="86">
        <f t="shared" si="28"/>
        <v>35.355339059327378</v>
      </c>
      <c r="V24" s="86">
        <f t="shared" si="29"/>
        <v>0</v>
      </c>
      <c r="W24" s="86">
        <f t="shared" si="30"/>
        <v>31.81980515339464</v>
      </c>
      <c r="X24" s="86">
        <f t="shared" si="31"/>
        <v>22.391714737574006</v>
      </c>
      <c r="Y24" s="86">
        <f t="shared" si="32"/>
        <v>17.515473889667536</v>
      </c>
      <c r="Z24" s="222">
        <f t="shared" si="33"/>
        <v>-41.70506181757677</v>
      </c>
      <c r="AA24" s="223">
        <f t="shared" si="34"/>
        <v>-39.164539485499247</v>
      </c>
      <c r="AB24" s="142">
        <v>0</v>
      </c>
      <c r="AC24" s="285">
        <f t="shared" si="35"/>
        <v>7</v>
      </c>
      <c r="AD24" s="132">
        <f t="shared" si="35"/>
        <v>7</v>
      </c>
      <c r="AE24" s="136">
        <f t="shared" si="36"/>
        <v>8</v>
      </c>
      <c r="AF24" s="136">
        <f t="shared" si="36"/>
        <v>8</v>
      </c>
      <c r="AG24" s="275">
        <f t="shared" si="37"/>
        <v>2</v>
      </c>
    </row>
    <row r="25" spans="1:33" x14ac:dyDescent="0.3">
      <c r="A25" s="74">
        <v>26</v>
      </c>
      <c r="B25" s="266" t="s">
        <v>169</v>
      </c>
      <c r="C25" s="75" t="s">
        <v>169</v>
      </c>
      <c r="D25" s="76" t="s">
        <v>170</v>
      </c>
      <c r="E25" s="292">
        <v>8</v>
      </c>
      <c r="F25" s="78">
        <v>13</v>
      </c>
      <c r="G25" s="78">
        <v>38</v>
      </c>
      <c r="H25" s="78">
        <v>40</v>
      </c>
      <c r="I25" s="78">
        <v>40</v>
      </c>
      <c r="J25" s="78">
        <v>20</v>
      </c>
      <c r="K25" s="78">
        <v>20</v>
      </c>
      <c r="L25" s="78">
        <v>30</v>
      </c>
      <c r="M25" s="78">
        <v>2</v>
      </c>
      <c r="N25" s="87">
        <f t="shared" si="21"/>
        <v>19.666666666666668</v>
      </c>
      <c r="O25" s="88">
        <f t="shared" si="22"/>
        <v>40</v>
      </c>
      <c r="P25" s="88">
        <f t="shared" si="23"/>
        <v>20</v>
      </c>
      <c r="Q25" s="88">
        <f t="shared" si="24"/>
        <v>16</v>
      </c>
      <c r="R25" s="88">
        <f t="shared" si="25"/>
        <v>25.333333333333332</v>
      </c>
      <c r="S25" s="89">
        <f t="shared" si="26"/>
        <v>23.444444444444443</v>
      </c>
      <c r="T25" s="88">
        <f t="shared" si="27"/>
        <v>16.072751268321593</v>
      </c>
      <c r="U25" s="88">
        <f t="shared" si="28"/>
        <v>0</v>
      </c>
      <c r="V25" s="88">
        <f t="shared" si="29"/>
        <v>0</v>
      </c>
      <c r="W25" s="88">
        <f t="shared" si="30"/>
        <v>19.798989873223331</v>
      </c>
      <c r="X25" s="88">
        <f t="shared" si="31"/>
        <v>6.5996632910744433</v>
      </c>
      <c r="Y25" s="88">
        <f t="shared" si="32"/>
        <v>8.9679352853862309</v>
      </c>
      <c r="Z25" s="224">
        <f t="shared" si="33"/>
        <v>-27.47411807886423</v>
      </c>
      <c r="AA25" s="225">
        <f t="shared" si="34"/>
        <v>-28.64049381360671</v>
      </c>
      <c r="AB25" s="143">
        <v>1</v>
      </c>
      <c r="AC25" s="265">
        <f t="shared" si="35"/>
        <v>3</v>
      </c>
      <c r="AD25" s="125">
        <f t="shared" si="35"/>
        <v>1</v>
      </c>
      <c r="AE25" s="135">
        <f t="shared" si="36"/>
        <v>2</v>
      </c>
      <c r="AF25" s="135">
        <f t="shared" si="36"/>
        <v>2</v>
      </c>
      <c r="AG25" s="268">
        <f t="shared" si="37"/>
        <v>7</v>
      </c>
    </row>
    <row r="26" spans="1:33" x14ac:dyDescent="0.3">
      <c r="A26" s="68">
        <v>22</v>
      </c>
      <c r="B26" s="68" t="s">
        <v>170</v>
      </c>
      <c r="C26" s="62" t="s">
        <v>170</v>
      </c>
      <c r="D26" s="69" t="s">
        <v>169</v>
      </c>
      <c r="E26" s="92">
        <v>95</v>
      </c>
      <c r="F26" s="63">
        <v>90</v>
      </c>
      <c r="G26" s="63">
        <v>80</v>
      </c>
      <c r="H26" s="63">
        <v>80</v>
      </c>
      <c r="I26" s="63">
        <v>60</v>
      </c>
      <c r="J26" s="63">
        <v>45</v>
      </c>
      <c r="K26" s="64">
        <v>30</v>
      </c>
      <c r="L26" s="64">
        <v>10</v>
      </c>
      <c r="M26" s="64">
        <v>20</v>
      </c>
      <c r="N26" s="85">
        <f t="shared" si="21"/>
        <v>88.333333333333329</v>
      </c>
      <c r="O26" s="86">
        <f t="shared" si="22"/>
        <v>70</v>
      </c>
      <c r="P26" s="86">
        <f t="shared" si="23"/>
        <v>37.5</v>
      </c>
      <c r="Q26" s="86">
        <f t="shared" si="24"/>
        <v>15</v>
      </c>
      <c r="R26" s="86">
        <f t="shared" si="25"/>
        <v>40.833333333333336</v>
      </c>
      <c r="S26" s="91">
        <f t="shared" si="26"/>
        <v>56.666666666666664</v>
      </c>
      <c r="T26" s="86">
        <f t="shared" si="27"/>
        <v>7.6376261582597333</v>
      </c>
      <c r="U26" s="86">
        <f t="shared" si="28"/>
        <v>14.142135623730951</v>
      </c>
      <c r="V26" s="86">
        <f t="shared" si="29"/>
        <v>10.606601717798213</v>
      </c>
      <c r="W26" s="86">
        <f t="shared" si="30"/>
        <v>7.0710678118654755</v>
      </c>
      <c r="X26" s="86">
        <f t="shared" si="31"/>
        <v>10.606601717798213</v>
      </c>
      <c r="Y26" s="86">
        <f t="shared" si="32"/>
        <v>9.8643578279135937</v>
      </c>
      <c r="Z26" s="222">
        <f t="shared" si="33"/>
        <v>-38.944083773796322</v>
      </c>
      <c r="AA26" s="223">
        <f t="shared" si="34"/>
        <v>-36.133719332915192</v>
      </c>
      <c r="AB26" s="142">
        <f>6/9</f>
        <v>0.66666666666666663</v>
      </c>
      <c r="AC26" s="285">
        <f t="shared" ref="AC26:AD29" si="38">RANK(R26,R$22:R$29,1)</f>
        <v>6</v>
      </c>
      <c r="AD26" s="132">
        <f t="shared" si="38"/>
        <v>6</v>
      </c>
      <c r="AE26" s="136">
        <f t="shared" ref="AE26:AF29" si="39">RANK(X26,X$22:X$29,1)</f>
        <v>4</v>
      </c>
      <c r="AF26" s="136">
        <f t="shared" si="39"/>
        <v>4</v>
      </c>
      <c r="AG26" s="275">
        <f t="shared" si="37"/>
        <v>3</v>
      </c>
    </row>
    <row r="27" spans="1:33" x14ac:dyDescent="0.3">
      <c r="A27" s="74">
        <v>17</v>
      </c>
      <c r="B27" s="74" t="s">
        <v>170</v>
      </c>
      <c r="C27" s="75" t="s">
        <v>169</v>
      </c>
      <c r="D27" s="76" t="s">
        <v>169</v>
      </c>
      <c r="E27" s="290">
        <v>20</v>
      </c>
      <c r="F27" s="291">
        <v>15</v>
      </c>
      <c r="G27" s="291">
        <v>40</v>
      </c>
      <c r="H27" s="291">
        <v>20</v>
      </c>
      <c r="I27" s="291">
        <v>40</v>
      </c>
      <c r="J27" s="291">
        <v>20</v>
      </c>
      <c r="K27" s="291">
        <v>40</v>
      </c>
      <c r="L27" s="291">
        <v>25</v>
      </c>
      <c r="M27" s="291">
        <v>15</v>
      </c>
      <c r="N27" s="87">
        <f t="shared" si="21"/>
        <v>25</v>
      </c>
      <c r="O27" s="88">
        <f t="shared" si="22"/>
        <v>30</v>
      </c>
      <c r="P27" s="88">
        <f t="shared" si="23"/>
        <v>30</v>
      </c>
      <c r="Q27" s="88">
        <f t="shared" si="24"/>
        <v>20</v>
      </c>
      <c r="R27" s="295">
        <f t="shared" si="25"/>
        <v>26.666666666666668</v>
      </c>
      <c r="S27" s="89">
        <f t="shared" si="26"/>
        <v>26.111111111111111</v>
      </c>
      <c r="T27" s="88">
        <f t="shared" si="27"/>
        <v>13.228756555322953</v>
      </c>
      <c r="U27" s="88">
        <f t="shared" si="28"/>
        <v>14.142135623730951</v>
      </c>
      <c r="V27" s="88">
        <f t="shared" si="29"/>
        <v>14.142135623730951</v>
      </c>
      <c r="W27" s="88">
        <f t="shared" si="30"/>
        <v>7.0710678118654755</v>
      </c>
      <c r="X27" s="295">
        <f t="shared" si="31"/>
        <v>11.785113019775793</v>
      </c>
      <c r="Y27" s="88">
        <f t="shared" si="32"/>
        <v>12.146023903662583</v>
      </c>
      <c r="Z27" s="287">
        <f t="shared" si="33"/>
        <v>-28.702087605972881</v>
      </c>
      <c r="AA27" s="288">
        <f t="shared" si="34"/>
        <v>-28.954839347570029</v>
      </c>
      <c r="AB27" s="143">
        <v>1</v>
      </c>
      <c r="AC27" s="265">
        <f t="shared" si="38"/>
        <v>4</v>
      </c>
      <c r="AD27" s="133">
        <f t="shared" si="38"/>
        <v>3</v>
      </c>
      <c r="AE27" s="135">
        <f t="shared" si="39"/>
        <v>6</v>
      </c>
      <c r="AF27" s="135">
        <f t="shared" si="39"/>
        <v>5</v>
      </c>
      <c r="AG27" s="268">
        <f t="shared" si="37"/>
        <v>6</v>
      </c>
    </row>
    <row r="28" spans="1:33" x14ac:dyDescent="0.3">
      <c r="A28" s="74">
        <v>27</v>
      </c>
      <c r="B28" s="266" t="s">
        <v>169</v>
      </c>
      <c r="C28" s="75" t="s">
        <v>170</v>
      </c>
      <c r="D28" s="76" t="s">
        <v>169</v>
      </c>
      <c r="E28" s="93">
        <v>60</v>
      </c>
      <c r="F28" s="77">
        <v>60</v>
      </c>
      <c r="G28" s="77">
        <v>65</v>
      </c>
      <c r="H28" s="77">
        <v>60</v>
      </c>
      <c r="I28" s="77">
        <v>70</v>
      </c>
      <c r="J28" s="78">
        <v>30</v>
      </c>
      <c r="K28" s="78">
        <v>10</v>
      </c>
      <c r="L28" s="78">
        <v>20</v>
      </c>
      <c r="M28" s="78">
        <v>2</v>
      </c>
      <c r="N28" s="87">
        <f t="shared" si="21"/>
        <v>61.666666666666664</v>
      </c>
      <c r="O28" s="88">
        <f t="shared" si="22"/>
        <v>65</v>
      </c>
      <c r="P28" s="88">
        <f t="shared" si="23"/>
        <v>20</v>
      </c>
      <c r="Q28" s="88">
        <f t="shared" si="24"/>
        <v>11</v>
      </c>
      <c r="R28" s="88">
        <f t="shared" si="25"/>
        <v>32</v>
      </c>
      <c r="S28" s="89">
        <f t="shared" si="26"/>
        <v>41.888888888888886</v>
      </c>
      <c r="T28" s="88">
        <f t="shared" si="27"/>
        <v>2.8867513459481287</v>
      </c>
      <c r="U28" s="88">
        <f t="shared" si="28"/>
        <v>7.0710678118654755</v>
      </c>
      <c r="V28" s="88">
        <f t="shared" si="29"/>
        <v>14.142135623730951</v>
      </c>
      <c r="W28" s="88">
        <f t="shared" si="30"/>
        <v>12.727922061357855</v>
      </c>
      <c r="X28" s="88">
        <f t="shared" si="31"/>
        <v>11.313708498984761</v>
      </c>
      <c r="Y28" s="88">
        <f t="shared" si="32"/>
        <v>9.2069692107256031</v>
      </c>
      <c r="Z28" s="224">
        <f t="shared" si="33"/>
        <v>-35.807349540222255</v>
      </c>
      <c r="AA28" s="225">
        <f t="shared" si="34"/>
        <v>-33.74727984797606</v>
      </c>
      <c r="AB28" s="143">
        <f>4/9</f>
        <v>0.44444444444444442</v>
      </c>
      <c r="AC28" s="265">
        <f t="shared" si="38"/>
        <v>5</v>
      </c>
      <c r="AD28" s="133">
        <f t="shared" si="38"/>
        <v>5</v>
      </c>
      <c r="AE28" s="135">
        <f t="shared" si="39"/>
        <v>5</v>
      </c>
      <c r="AF28" s="135">
        <f t="shared" si="39"/>
        <v>3</v>
      </c>
      <c r="AG28" s="268">
        <f t="shared" si="37"/>
        <v>5</v>
      </c>
    </row>
    <row r="29" spans="1:33" ht="16.8" thickBot="1" x14ac:dyDescent="0.35">
      <c r="A29" s="66">
        <v>28</v>
      </c>
      <c r="B29" s="269" t="s">
        <v>169</v>
      </c>
      <c r="C29" s="65" t="s">
        <v>169</v>
      </c>
      <c r="D29" s="67" t="s">
        <v>169</v>
      </c>
      <c r="E29" s="280">
        <v>20</v>
      </c>
      <c r="F29" s="276">
        <v>30</v>
      </c>
      <c r="G29" s="276">
        <v>30</v>
      </c>
      <c r="H29" s="65">
        <v>30</v>
      </c>
      <c r="I29" s="276">
        <v>35</v>
      </c>
      <c r="J29" s="276">
        <v>30</v>
      </c>
      <c r="K29" s="276">
        <v>20</v>
      </c>
      <c r="L29" s="276">
        <v>5</v>
      </c>
      <c r="M29" s="276">
        <v>15</v>
      </c>
      <c r="N29" s="281">
        <f t="shared" si="21"/>
        <v>26.666666666666668</v>
      </c>
      <c r="O29" s="277">
        <f t="shared" si="22"/>
        <v>32.5</v>
      </c>
      <c r="P29" s="277">
        <f t="shared" si="23"/>
        <v>25</v>
      </c>
      <c r="Q29" s="277">
        <f t="shared" si="24"/>
        <v>10</v>
      </c>
      <c r="R29" s="277">
        <f t="shared" si="25"/>
        <v>22.5</v>
      </c>
      <c r="S29" s="282">
        <f t="shared" si="26"/>
        <v>23.888888888888889</v>
      </c>
      <c r="T29" s="277">
        <f t="shared" si="27"/>
        <v>5.7735026918962511</v>
      </c>
      <c r="U29" s="277">
        <f t="shared" si="28"/>
        <v>3.5355339059327378</v>
      </c>
      <c r="V29" s="277">
        <f t="shared" si="29"/>
        <v>7.0710678118654755</v>
      </c>
      <c r="W29" s="277">
        <f t="shared" si="30"/>
        <v>7.0710678118654755</v>
      </c>
      <c r="X29" s="277">
        <f t="shared" si="31"/>
        <v>5.8925565098878963</v>
      </c>
      <c r="Y29" s="277">
        <f t="shared" si="32"/>
        <v>5.862793055389985</v>
      </c>
      <c r="Z29" s="283">
        <f t="shared" si="33"/>
        <v>-28.653014261025437</v>
      </c>
      <c r="AA29" s="284">
        <f t="shared" si="34"/>
        <v>-28.14765361504449</v>
      </c>
      <c r="AB29" s="270">
        <f>8/9</f>
        <v>0.88888888888888884</v>
      </c>
      <c r="AC29" s="286">
        <f t="shared" si="38"/>
        <v>2</v>
      </c>
      <c r="AD29" s="271">
        <f t="shared" si="38"/>
        <v>2</v>
      </c>
      <c r="AE29" s="327">
        <f t="shared" si="39"/>
        <v>1</v>
      </c>
      <c r="AF29" s="327">
        <f t="shared" si="39"/>
        <v>1</v>
      </c>
      <c r="AG29" s="278">
        <f t="shared" si="37"/>
        <v>8</v>
      </c>
    </row>
  </sheetData>
  <mergeCells count="68">
    <mergeCell ref="AH2:AK2"/>
    <mergeCell ref="Z2:AA2"/>
    <mergeCell ref="AC2:AG2"/>
    <mergeCell ref="S3:S4"/>
    <mergeCell ref="B2:D2"/>
    <mergeCell ref="R3:R4"/>
    <mergeCell ref="N2:S2"/>
    <mergeCell ref="T2:Y2"/>
    <mergeCell ref="X3:X4"/>
    <mergeCell ref="J3:K3"/>
    <mergeCell ref="H3:I3"/>
    <mergeCell ref="E3:G3"/>
    <mergeCell ref="T3:T4"/>
    <mergeCell ref="U3:U4"/>
    <mergeCell ref="N3:N4"/>
    <mergeCell ref="L3:M3"/>
    <mergeCell ref="A3:A4"/>
    <mergeCell ref="E2:M2"/>
    <mergeCell ref="AE3:AE4"/>
    <mergeCell ref="AF3:AF4"/>
    <mergeCell ref="AG3:AG4"/>
    <mergeCell ref="V3:V4"/>
    <mergeCell ref="W3:W4"/>
    <mergeCell ref="Y3:Y4"/>
    <mergeCell ref="Z3:Z4"/>
    <mergeCell ref="AA3:AA4"/>
    <mergeCell ref="AB3:AB4"/>
    <mergeCell ref="AC3:AC4"/>
    <mergeCell ref="AD3:AD4"/>
    <mergeCell ref="O3:O4"/>
    <mergeCell ref="P3:P4"/>
    <mergeCell ref="Q3:Q4"/>
    <mergeCell ref="B19:D19"/>
    <mergeCell ref="E19:M19"/>
    <mergeCell ref="N19:S19"/>
    <mergeCell ref="T19:Y19"/>
    <mergeCell ref="Z19:AA19"/>
    <mergeCell ref="AC19:AG19"/>
    <mergeCell ref="A20:A21"/>
    <mergeCell ref="E20:G20"/>
    <mergeCell ref="H20:I20"/>
    <mergeCell ref="J20:K20"/>
    <mergeCell ref="L20:M20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H3:AH4"/>
    <mergeCell ref="AI3:AI4"/>
    <mergeCell ref="AJ3:AJ4"/>
    <mergeCell ref="AK3:AK4"/>
    <mergeCell ref="AL3:AL4"/>
  </mergeCells>
  <phoneticPr fontId="1" type="noConversion"/>
  <conditionalFormatting sqref="N5:N11">
    <cfRule type="aboveAverage" dxfId="70" priority="226"/>
  </conditionalFormatting>
  <conditionalFormatting sqref="N12">
    <cfRule type="aboveAverage" dxfId="69" priority="99" aboveAverage="0"/>
  </conditionalFormatting>
  <conditionalFormatting sqref="N22:N29">
    <cfRule type="aboveAverage" dxfId="68" priority="7" aboveAverage="0"/>
  </conditionalFormatting>
  <conditionalFormatting sqref="O5:O8">
    <cfRule type="aboveAverage" dxfId="67" priority="227"/>
  </conditionalFormatting>
  <conditionalFormatting sqref="O9 O11:O12">
    <cfRule type="aboveAverage" dxfId="66" priority="100" aboveAverage="0"/>
  </conditionalFormatting>
  <conditionalFormatting sqref="O10">
    <cfRule type="aboveAverage" dxfId="65" priority="65"/>
  </conditionalFormatting>
  <conditionalFormatting sqref="O22:O29">
    <cfRule type="aboveAverage" dxfId="64" priority="6" aboveAverage="0"/>
  </conditionalFormatting>
  <conditionalFormatting sqref="P5:P8">
    <cfRule type="aboveAverage" dxfId="63" priority="228"/>
  </conditionalFormatting>
  <conditionalFormatting sqref="P9 P11:P12">
    <cfRule type="aboveAverage" dxfId="62" priority="101" aboveAverage="0"/>
  </conditionalFormatting>
  <conditionalFormatting sqref="P10">
    <cfRule type="aboveAverage" dxfId="61" priority="64"/>
  </conditionalFormatting>
  <conditionalFormatting sqref="P22:P29">
    <cfRule type="aboveAverage" dxfId="60" priority="5" aboveAverage="0"/>
  </conditionalFormatting>
  <conditionalFormatting sqref="Q5:Q8">
    <cfRule type="aboveAverage" dxfId="59" priority="229"/>
  </conditionalFormatting>
  <conditionalFormatting sqref="Q9 Q11:Q12">
    <cfRule type="aboveAverage" dxfId="58" priority="102" aboveAverage="0"/>
  </conditionalFormatting>
  <conditionalFormatting sqref="Q10">
    <cfRule type="aboveAverage" dxfId="57" priority="63"/>
  </conditionalFormatting>
  <conditionalFormatting sqref="Q22:Q29">
    <cfRule type="aboveAverage" dxfId="56" priority="4" aboveAverage="0"/>
  </conditionalFormatting>
  <conditionalFormatting sqref="R5:R8">
    <cfRule type="aboveAverage" dxfId="55" priority="129"/>
  </conditionalFormatting>
  <conditionalFormatting sqref="R9 R11:R12">
    <cfRule type="aboveAverage" dxfId="54" priority="97" aboveAverage="0"/>
  </conditionalFormatting>
  <conditionalFormatting sqref="R22:R29">
    <cfRule type="aboveAverage" dxfId="53" priority="3" aboveAverage="0"/>
  </conditionalFormatting>
  <conditionalFormatting sqref="S5:S8">
    <cfRule type="aboveAverage" dxfId="52" priority="128"/>
  </conditionalFormatting>
  <conditionalFormatting sqref="S9 S11:S12">
    <cfRule type="aboveAverage" dxfId="51" priority="98" aboveAverage="0"/>
  </conditionalFormatting>
  <conditionalFormatting sqref="S10">
    <cfRule type="aboveAverage" dxfId="50" priority="62"/>
  </conditionalFormatting>
  <conditionalFormatting sqref="S22:S29">
    <cfRule type="aboveAverage" dxfId="49" priority="2" aboveAverage="0"/>
  </conditionalFormatting>
  <conditionalFormatting sqref="T5:T8">
    <cfRule type="aboveAverage" dxfId="48" priority="122" aboveAverage="0"/>
  </conditionalFormatting>
  <conditionalFormatting sqref="T9 T11:T12">
    <cfRule type="aboveAverage" dxfId="47" priority="107" aboveAverage="0"/>
  </conditionalFormatting>
  <conditionalFormatting sqref="T10">
    <cfRule type="aboveAverage" dxfId="46" priority="61" aboveAverage="0"/>
  </conditionalFormatting>
  <conditionalFormatting sqref="U5:U8">
    <cfRule type="aboveAverage" dxfId="45" priority="123" aboveAverage="0"/>
  </conditionalFormatting>
  <conditionalFormatting sqref="U9 U11:U12">
    <cfRule type="aboveAverage" dxfId="44" priority="108" aboveAverage="0"/>
  </conditionalFormatting>
  <conditionalFormatting sqref="U10">
    <cfRule type="aboveAverage" dxfId="43" priority="60" aboveAverage="0"/>
  </conditionalFormatting>
  <conditionalFormatting sqref="V5:V8">
    <cfRule type="aboveAverage" dxfId="42" priority="124" aboveAverage="0"/>
  </conditionalFormatting>
  <conditionalFormatting sqref="V9 V11:V12">
    <cfRule type="aboveAverage" dxfId="41" priority="109" aboveAverage="0"/>
  </conditionalFormatting>
  <conditionalFormatting sqref="V10">
    <cfRule type="aboveAverage" dxfId="40" priority="59" aboveAverage="0"/>
  </conditionalFormatting>
  <conditionalFormatting sqref="W5:W8">
    <cfRule type="aboveAverage" dxfId="39" priority="125" aboveAverage="0"/>
  </conditionalFormatting>
  <conditionalFormatting sqref="W9 W11:W12">
    <cfRule type="aboveAverage" dxfId="38" priority="110" aboveAverage="0"/>
  </conditionalFormatting>
  <conditionalFormatting sqref="W10">
    <cfRule type="aboveAverage" dxfId="37" priority="57" aboveAverage="0"/>
  </conditionalFormatting>
  <conditionalFormatting sqref="X5:X8">
    <cfRule type="aboveAverage" dxfId="36" priority="120" aboveAverage="0"/>
  </conditionalFormatting>
  <conditionalFormatting sqref="X9 X11:X12">
    <cfRule type="aboveAverage" dxfId="35" priority="105" aboveAverage="0"/>
  </conditionalFormatting>
  <conditionalFormatting sqref="Y5:Y8">
    <cfRule type="aboveAverage" dxfId="34" priority="121" aboveAverage="0"/>
  </conditionalFormatting>
  <conditionalFormatting sqref="Y9 Y11:Y12">
    <cfRule type="aboveAverage" dxfId="33" priority="106" aboveAverage="0"/>
  </conditionalFormatting>
  <conditionalFormatting sqref="Y10">
    <cfRule type="aboveAverage" dxfId="32" priority="58" aboveAverage="0"/>
  </conditionalFormatting>
  <conditionalFormatting sqref="Z5:Z8">
    <cfRule type="aboveAverage" dxfId="31" priority="118"/>
  </conditionalFormatting>
  <conditionalFormatting sqref="Z9 Z11:Z12">
    <cfRule type="aboveAverage" dxfId="30" priority="103"/>
  </conditionalFormatting>
  <conditionalFormatting sqref="Z10">
    <cfRule type="aboveAverage" dxfId="29" priority="55"/>
  </conditionalFormatting>
  <conditionalFormatting sqref="Z22:Z29">
    <cfRule type="aboveAverage" dxfId="28" priority="9" aboveAverage="0"/>
  </conditionalFormatting>
  <conditionalFormatting sqref="AA5:AA8">
    <cfRule type="aboveAverage" dxfId="27" priority="119"/>
  </conditionalFormatting>
  <conditionalFormatting sqref="AA9 AA11:AA12">
    <cfRule type="aboveAverage" dxfId="26" priority="104"/>
  </conditionalFormatting>
  <conditionalFormatting sqref="AA10">
    <cfRule type="aboveAverage" dxfId="25" priority="54"/>
  </conditionalFormatting>
  <conditionalFormatting sqref="AA22:AA29">
    <cfRule type="aboveAverage" dxfId="24" priority="8" aboveAverage="0"/>
  </conditionalFormatting>
  <conditionalFormatting sqref="AB5:AB8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:AB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1:AB12 AB9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2:AB2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2:AB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8:AB29 AB2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:AL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CFFB-950D-4202-83D1-6CFCFAD2E151}">
  <dimension ref="A1:AP77"/>
  <sheetViews>
    <sheetView topLeftCell="A20" zoomScale="95" zoomScaleNormal="136" workbookViewId="0">
      <selection activeCell="G22" sqref="G22"/>
    </sheetView>
  </sheetViews>
  <sheetFormatPr defaultRowHeight="16.2" x14ac:dyDescent="0.3"/>
  <cols>
    <col min="9" max="10" width="8.88671875" customWidth="1"/>
    <col min="11" max="13" width="10.109375" customWidth="1"/>
    <col min="14" max="16" width="12.33203125" customWidth="1"/>
    <col min="17" max="23" width="8.88671875" customWidth="1"/>
    <col min="24" max="25" width="12.44140625" bestFit="1" customWidth="1"/>
    <col min="26" max="29" width="11.21875" bestFit="1" customWidth="1"/>
  </cols>
  <sheetData>
    <row r="1" spans="1:42" x14ac:dyDescent="0.3">
      <c r="K1" s="330" t="s">
        <v>187</v>
      </c>
      <c r="L1" s="330"/>
      <c r="M1" s="330"/>
      <c r="N1" s="330" t="s">
        <v>92</v>
      </c>
      <c r="O1" s="330"/>
      <c r="P1" s="330"/>
      <c r="T1" t="s">
        <v>256</v>
      </c>
      <c r="V1" t="s">
        <v>255</v>
      </c>
      <c r="W1">
        <v>400</v>
      </c>
      <c r="X1">
        <v>450</v>
      </c>
      <c r="Y1">
        <v>500</v>
      </c>
      <c r="Z1">
        <v>550</v>
      </c>
      <c r="AA1">
        <v>600</v>
      </c>
      <c r="AK1" t="s">
        <v>255</v>
      </c>
      <c r="AL1">
        <v>400</v>
      </c>
      <c r="AM1">
        <v>450</v>
      </c>
      <c r="AN1">
        <v>500</v>
      </c>
      <c r="AO1">
        <v>550</v>
      </c>
      <c r="AP1">
        <v>600</v>
      </c>
    </row>
    <row r="2" spans="1:42" ht="16.2" customHeight="1" x14ac:dyDescent="0.3">
      <c r="B2" t="s">
        <v>245</v>
      </c>
      <c r="E2" t="s">
        <v>246</v>
      </c>
      <c r="H2" t="s">
        <v>247</v>
      </c>
      <c r="K2" s="296" t="s">
        <v>33</v>
      </c>
      <c r="L2" s="296" t="s">
        <v>34</v>
      </c>
      <c r="M2" s="296" t="s">
        <v>36</v>
      </c>
      <c r="N2" s="296" t="s">
        <v>33</v>
      </c>
      <c r="O2" s="296" t="s">
        <v>34</v>
      </c>
      <c r="P2" s="296" t="s">
        <v>36</v>
      </c>
      <c r="V2">
        <v>50</v>
      </c>
      <c r="W2">
        <v>5.6349999999999998</v>
      </c>
      <c r="X2">
        <v>6.8760000000000003</v>
      </c>
      <c r="Y2">
        <v>7.8220000000000001</v>
      </c>
      <c r="Z2">
        <v>8.6189999999999998</v>
      </c>
      <c r="AA2">
        <v>9.32</v>
      </c>
      <c r="AB2" s="324" t="s">
        <v>257</v>
      </c>
      <c r="AE2" t="s">
        <v>274</v>
      </c>
      <c r="AK2">
        <v>100</v>
      </c>
      <c r="AL2">
        <v>5</v>
      </c>
      <c r="AM2">
        <v>8</v>
      </c>
      <c r="AN2">
        <v>5</v>
      </c>
      <c r="AO2">
        <v>10</v>
      </c>
      <c r="AP2">
        <v>4</v>
      </c>
    </row>
    <row r="3" spans="1:42" ht="18.600000000000001" x14ac:dyDescent="0.3">
      <c r="A3">
        <v>1</v>
      </c>
      <c r="V3">
        <v>100</v>
      </c>
      <c r="W3">
        <v>6.5890000000000004</v>
      </c>
      <c r="X3">
        <v>7.79</v>
      </c>
      <c r="Y3">
        <v>8.7449999999999992</v>
      </c>
      <c r="Z3">
        <v>9.5630000000000006</v>
      </c>
      <c r="AA3">
        <v>10.29</v>
      </c>
      <c r="AB3" s="324" t="s">
        <v>253</v>
      </c>
      <c r="AK3">
        <v>150</v>
      </c>
      <c r="AL3">
        <v>15</v>
      </c>
      <c r="AM3">
        <v>0</v>
      </c>
      <c r="AN3">
        <v>60</v>
      </c>
      <c r="AO3">
        <v>10</v>
      </c>
      <c r="AP3">
        <v>10</v>
      </c>
    </row>
    <row r="4" spans="1:42" ht="18.600000000000001" x14ac:dyDescent="0.3">
      <c r="A4">
        <v>2</v>
      </c>
      <c r="V4">
        <v>150</v>
      </c>
      <c r="W4">
        <v>7.8449999999999998</v>
      </c>
      <c r="X4">
        <v>8.84</v>
      </c>
      <c r="Y4">
        <v>9.6690000000000005</v>
      </c>
      <c r="Z4">
        <v>10.393000000000001</v>
      </c>
      <c r="AA4">
        <v>11.045999999999999</v>
      </c>
      <c r="AB4" s="324" t="s">
        <v>254</v>
      </c>
      <c r="AN4">
        <v>104</v>
      </c>
    </row>
    <row r="5" spans="1:42" x14ac:dyDescent="0.3">
      <c r="A5">
        <v>3</v>
      </c>
      <c r="W5" s="325" t="s">
        <v>258</v>
      </c>
      <c r="Y5" s="325" t="s">
        <v>260</v>
      </c>
      <c r="AA5" s="325" t="s">
        <v>262</v>
      </c>
      <c r="AN5">
        <v>10</v>
      </c>
    </row>
    <row r="6" spans="1:42" x14ac:dyDescent="0.3">
      <c r="A6">
        <v>4</v>
      </c>
      <c r="X6" s="325" t="s">
        <v>259</v>
      </c>
      <c r="Z6" s="325" t="s">
        <v>261</v>
      </c>
    </row>
    <row r="7" spans="1:42" x14ac:dyDescent="0.3">
      <c r="A7">
        <v>5</v>
      </c>
      <c r="B7">
        <v>382</v>
      </c>
      <c r="C7">
        <v>395</v>
      </c>
      <c r="D7">
        <v>375</v>
      </c>
      <c r="K7" s="322">
        <f t="shared" ref="K7:K12" si="0">AVERAGE(B7,C7,D7)</f>
        <v>384</v>
      </c>
      <c r="L7" s="322"/>
      <c r="M7" s="322"/>
      <c r="N7" s="322">
        <f t="shared" ref="N7:N12" si="1">_xlfn.STDEV.S(B7,C7,D7)</f>
        <v>10.148891565092219</v>
      </c>
      <c r="O7" s="322"/>
      <c r="P7" s="322"/>
    </row>
    <row r="8" spans="1:42" x14ac:dyDescent="0.3">
      <c r="A8">
        <v>6</v>
      </c>
      <c r="B8">
        <v>402</v>
      </c>
      <c r="C8">
        <v>411</v>
      </c>
      <c r="D8">
        <v>415</v>
      </c>
      <c r="E8">
        <v>385</v>
      </c>
      <c r="F8">
        <v>378</v>
      </c>
      <c r="G8">
        <v>367</v>
      </c>
      <c r="K8" s="322">
        <f t="shared" si="0"/>
        <v>409.33333333333331</v>
      </c>
      <c r="L8" s="322">
        <f t="shared" ref="L8:L13" si="2">AVERAGE(E8,F8,G8)</f>
        <v>376.66666666666669</v>
      </c>
      <c r="M8" s="322"/>
      <c r="N8" s="322">
        <f t="shared" si="1"/>
        <v>6.6583281184793934</v>
      </c>
      <c r="O8" s="322">
        <f t="shared" ref="O8:O13" si="3">_xlfn.STDEV.S(E8,F8,G8)</f>
        <v>9.0737717258774673</v>
      </c>
      <c r="P8" s="322"/>
    </row>
    <row r="9" spans="1:42" x14ac:dyDescent="0.3">
      <c r="A9">
        <v>7</v>
      </c>
      <c r="B9">
        <v>450</v>
      </c>
      <c r="C9">
        <v>465</v>
      </c>
      <c r="D9">
        <v>447</v>
      </c>
      <c r="E9">
        <v>430</v>
      </c>
      <c r="F9">
        <v>410</v>
      </c>
      <c r="G9">
        <v>421</v>
      </c>
      <c r="H9">
        <v>379</v>
      </c>
      <c r="I9">
        <v>367</v>
      </c>
      <c r="J9">
        <v>371</v>
      </c>
      <c r="K9" s="322">
        <f t="shared" si="0"/>
        <v>454</v>
      </c>
      <c r="L9" s="322">
        <f t="shared" si="2"/>
        <v>420.33333333333331</v>
      </c>
      <c r="M9" s="322">
        <f t="shared" ref="M9:M14" si="4">AVERAGE(H9,I9,J9)</f>
        <v>372.33333333333331</v>
      </c>
      <c r="N9" s="322">
        <f t="shared" si="1"/>
        <v>9.6436507609929549</v>
      </c>
      <c r="O9" s="322">
        <f t="shared" si="3"/>
        <v>10.016652800877813</v>
      </c>
      <c r="P9" s="322">
        <f t="shared" ref="P9:P14" si="5">_xlfn.STDEV.S(H9,I9,J9)</f>
        <v>6.110100926607787</v>
      </c>
    </row>
    <row r="10" spans="1:42" x14ac:dyDescent="0.3">
      <c r="A10">
        <v>8</v>
      </c>
      <c r="B10">
        <v>507</v>
      </c>
      <c r="C10">
        <v>508</v>
      </c>
      <c r="D10">
        <v>514</v>
      </c>
      <c r="E10">
        <v>463</v>
      </c>
      <c r="F10">
        <v>455</v>
      </c>
      <c r="G10">
        <v>478</v>
      </c>
      <c r="H10">
        <v>400</v>
      </c>
      <c r="I10">
        <v>404</v>
      </c>
      <c r="J10">
        <v>400</v>
      </c>
      <c r="K10" s="322">
        <f t="shared" si="0"/>
        <v>509.66666666666669</v>
      </c>
      <c r="L10" s="322">
        <f t="shared" si="2"/>
        <v>465.33333333333331</v>
      </c>
      <c r="M10" s="322">
        <f t="shared" si="4"/>
        <v>401.33333333333331</v>
      </c>
      <c r="N10" s="322">
        <f t="shared" si="1"/>
        <v>3.7859388972001824</v>
      </c>
      <c r="O10" s="322">
        <f t="shared" si="3"/>
        <v>11.676186592091328</v>
      </c>
      <c r="P10" s="322">
        <f t="shared" si="5"/>
        <v>2.3094010767585029</v>
      </c>
    </row>
    <row r="11" spans="1:42" x14ac:dyDescent="0.3">
      <c r="A11">
        <v>9</v>
      </c>
      <c r="B11">
        <v>586</v>
      </c>
      <c r="C11" s="319">
        <v>587</v>
      </c>
      <c r="D11">
        <v>580</v>
      </c>
      <c r="E11">
        <v>509</v>
      </c>
      <c r="F11">
        <v>502</v>
      </c>
      <c r="G11">
        <v>522</v>
      </c>
      <c r="H11">
        <v>440</v>
      </c>
      <c r="I11">
        <v>454</v>
      </c>
      <c r="J11">
        <v>466</v>
      </c>
      <c r="K11" s="322">
        <f t="shared" si="0"/>
        <v>584.33333333333337</v>
      </c>
      <c r="L11" s="322">
        <f t="shared" si="2"/>
        <v>511</v>
      </c>
      <c r="M11" s="322">
        <f t="shared" si="4"/>
        <v>453.33333333333331</v>
      </c>
      <c r="N11" s="322">
        <f t="shared" si="1"/>
        <v>3.7859388972001824</v>
      </c>
      <c r="O11" s="322">
        <f t="shared" si="3"/>
        <v>10.148891565092219</v>
      </c>
      <c r="P11" s="322">
        <f t="shared" si="5"/>
        <v>13.012814197295423</v>
      </c>
    </row>
    <row r="12" spans="1:42" x14ac:dyDescent="0.3">
      <c r="A12">
        <v>10</v>
      </c>
      <c r="B12">
        <v>650</v>
      </c>
      <c r="C12">
        <v>644</v>
      </c>
      <c r="D12">
        <v>655</v>
      </c>
      <c r="E12">
        <v>576</v>
      </c>
      <c r="F12">
        <v>569</v>
      </c>
      <c r="G12">
        <v>573</v>
      </c>
      <c r="H12">
        <v>516</v>
      </c>
      <c r="I12">
        <v>510</v>
      </c>
      <c r="J12">
        <v>509</v>
      </c>
      <c r="K12" s="322">
        <f t="shared" si="0"/>
        <v>649.66666666666663</v>
      </c>
      <c r="L12" s="322">
        <f t="shared" si="2"/>
        <v>572.66666666666663</v>
      </c>
      <c r="M12" s="322">
        <f t="shared" si="4"/>
        <v>511.66666666666669</v>
      </c>
      <c r="N12" s="322">
        <f t="shared" si="1"/>
        <v>5.5075705472861021</v>
      </c>
      <c r="O12" s="322">
        <f t="shared" si="3"/>
        <v>3.5118845842842461</v>
      </c>
      <c r="P12" s="322">
        <f t="shared" si="5"/>
        <v>3.7859388972001828</v>
      </c>
    </row>
    <row r="13" spans="1:42" x14ac:dyDescent="0.3">
      <c r="A13">
        <v>11</v>
      </c>
      <c r="E13" s="319">
        <v>662</v>
      </c>
      <c r="F13" s="319">
        <v>654</v>
      </c>
      <c r="G13">
        <v>660</v>
      </c>
      <c r="H13">
        <v>630</v>
      </c>
      <c r="I13" s="319">
        <v>616</v>
      </c>
      <c r="J13" s="319">
        <v>633</v>
      </c>
      <c r="K13" s="322"/>
      <c r="L13" s="322">
        <f t="shared" si="2"/>
        <v>658.66666666666663</v>
      </c>
      <c r="M13" s="322">
        <f t="shared" si="4"/>
        <v>626.33333333333337</v>
      </c>
      <c r="N13" s="322"/>
      <c r="O13" s="322">
        <f t="shared" si="3"/>
        <v>4.1633319989322652</v>
      </c>
      <c r="P13" s="322">
        <f t="shared" si="5"/>
        <v>9.0737717258774673</v>
      </c>
    </row>
    <row r="14" spans="1:42" x14ac:dyDescent="0.3">
      <c r="A14">
        <v>12</v>
      </c>
      <c r="H14">
        <v>676</v>
      </c>
      <c r="I14" s="319">
        <v>669</v>
      </c>
      <c r="J14" s="319">
        <v>657</v>
      </c>
      <c r="K14" s="322"/>
      <c r="L14" s="322"/>
      <c r="M14" s="322">
        <f t="shared" si="4"/>
        <v>667.33333333333337</v>
      </c>
      <c r="N14" s="322"/>
      <c r="O14" s="322"/>
      <c r="P14" s="322">
        <f t="shared" si="5"/>
        <v>9.6090235369330497</v>
      </c>
    </row>
    <row r="16" spans="1:42" x14ac:dyDescent="0.3">
      <c r="A16" s="64" t="s">
        <v>203</v>
      </c>
      <c r="B16" s="64" t="s">
        <v>195</v>
      </c>
      <c r="C16" s="297" t="s">
        <v>196</v>
      </c>
      <c r="D16" s="64" t="s">
        <v>197</v>
      </c>
      <c r="E16" s="64" t="s">
        <v>198</v>
      </c>
      <c r="F16" s="296" t="s">
        <v>199</v>
      </c>
      <c r="G16" s="296" t="s">
        <v>188</v>
      </c>
      <c r="H16" s="296" t="s">
        <v>189</v>
      </c>
      <c r="I16" s="64" t="s">
        <v>190</v>
      </c>
      <c r="J16" s="64" t="s">
        <v>191</v>
      </c>
      <c r="K16" s="64" t="s">
        <v>192</v>
      </c>
      <c r="L16" s="297" t="s">
        <v>193</v>
      </c>
      <c r="M16" s="64" t="s">
        <v>194</v>
      </c>
      <c r="U16" s="322"/>
    </row>
    <row r="17" spans="1:25" ht="16.2" hidden="1" customHeight="1" x14ac:dyDescent="0.3">
      <c r="A17" s="296">
        <v>50</v>
      </c>
      <c r="B17" s="7"/>
      <c r="C17" s="7"/>
      <c r="D17" s="7"/>
      <c r="E17" s="7"/>
      <c r="F17" s="322">
        <v>384</v>
      </c>
      <c r="G17" s="322">
        <v>409.33333333333331</v>
      </c>
      <c r="H17" s="322">
        <v>454</v>
      </c>
      <c r="I17" s="322">
        <v>509.66666666666669</v>
      </c>
      <c r="J17" s="322">
        <v>584.33333333333337</v>
      </c>
      <c r="K17" s="322">
        <v>649.66666666666663</v>
      </c>
      <c r="L17" s="7"/>
      <c r="M17" s="7"/>
      <c r="N17" s="324" t="s">
        <v>257</v>
      </c>
      <c r="U17" s="322"/>
    </row>
    <row r="18" spans="1:25" ht="18.600000000000001" hidden="1" x14ac:dyDescent="0.3">
      <c r="A18" s="296">
        <v>100</v>
      </c>
      <c r="B18" s="7"/>
      <c r="C18" s="7"/>
      <c r="D18" s="7"/>
      <c r="E18" s="7"/>
      <c r="F18" s="7"/>
      <c r="G18" s="322">
        <v>376.66666666666669</v>
      </c>
      <c r="H18" s="322">
        <v>420.33333333333331</v>
      </c>
      <c r="I18" s="322">
        <v>465.33333333333331</v>
      </c>
      <c r="J18" s="322">
        <v>511</v>
      </c>
      <c r="K18" s="322">
        <v>572.66666666666663</v>
      </c>
      <c r="L18" s="322">
        <v>658.66666666666663</v>
      </c>
      <c r="M18" s="7"/>
      <c r="N18" s="324" t="s">
        <v>253</v>
      </c>
      <c r="U18" s="322"/>
    </row>
    <row r="19" spans="1:25" ht="18.600000000000001" x14ac:dyDescent="0.3">
      <c r="A19" s="296">
        <v>150</v>
      </c>
      <c r="B19" s="7"/>
      <c r="C19" s="7"/>
      <c r="D19" s="7"/>
      <c r="E19" s="7"/>
      <c r="F19" s="7"/>
      <c r="G19" s="296"/>
      <c r="H19" s="322">
        <v>372.33333333333331</v>
      </c>
      <c r="I19" s="322">
        <v>401.33333333333331</v>
      </c>
      <c r="J19" s="322">
        <v>453.33333333333331</v>
      </c>
      <c r="K19" s="322">
        <v>511.66666666666669</v>
      </c>
      <c r="L19" s="322">
        <v>626.33333333333337</v>
      </c>
      <c r="M19" s="322">
        <v>667.33333333333337</v>
      </c>
      <c r="N19" s="324" t="s">
        <v>254</v>
      </c>
      <c r="T19" s="322"/>
      <c r="U19" s="322"/>
      <c r="V19" s="322"/>
      <c r="W19" s="322"/>
      <c r="X19" s="322"/>
      <c r="Y19" s="322"/>
    </row>
    <row r="20" spans="1:25" x14ac:dyDescent="0.3">
      <c r="U20" s="322"/>
    </row>
    <row r="21" spans="1:25" x14ac:dyDescent="0.3">
      <c r="U21" s="322"/>
    </row>
    <row r="22" spans="1:25" x14ac:dyDescent="0.3">
      <c r="B22" t="s">
        <v>201</v>
      </c>
    </row>
    <row r="36" spans="1:19" x14ac:dyDescent="0.3">
      <c r="A36" s="296"/>
      <c r="B36" s="296"/>
      <c r="C36" s="296"/>
      <c r="D36" s="296"/>
      <c r="E36" s="296"/>
      <c r="F36" s="296"/>
      <c r="G36" s="296"/>
      <c r="H36" s="7"/>
      <c r="I36" s="7"/>
      <c r="J36" s="7"/>
      <c r="K36" s="296"/>
      <c r="L36" s="296"/>
      <c r="M36" s="296"/>
      <c r="N36" s="7"/>
      <c r="P36" s="7"/>
      <c r="Q36" s="7"/>
      <c r="R36" s="7"/>
      <c r="S36" s="7"/>
    </row>
    <row r="37" spans="1:19" x14ac:dyDescent="0.3">
      <c r="A37" s="64"/>
      <c r="B37" s="64"/>
      <c r="C37" s="64"/>
      <c r="D37" s="64"/>
      <c r="E37" s="64"/>
      <c r="F37" s="64"/>
      <c r="G37" s="64"/>
      <c r="H37" s="296"/>
      <c r="I37" s="296"/>
      <c r="J37" s="296"/>
      <c r="K37" s="296"/>
      <c r="L37" s="296"/>
      <c r="M37" s="296"/>
      <c r="N37" s="7"/>
      <c r="O37" s="7"/>
      <c r="P37" s="7"/>
      <c r="Q37" s="7"/>
      <c r="R37" s="7"/>
    </row>
    <row r="38" spans="1:19" x14ac:dyDescent="0.3">
      <c r="P38" s="7"/>
      <c r="Q38" s="7"/>
      <c r="R38" s="7"/>
    </row>
    <row r="39" spans="1:19" x14ac:dyDescent="0.3">
      <c r="P39" s="7"/>
      <c r="Q39" s="7"/>
      <c r="R39" s="7"/>
    </row>
    <row r="40" spans="1:19" x14ac:dyDescent="0.3">
      <c r="P40" s="7"/>
      <c r="Q40" s="7"/>
      <c r="R40" s="7"/>
    </row>
    <row r="41" spans="1:19" x14ac:dyDescent="0.3">
      <c r="P41" s="296"/>
      <c r="Q41" s="296"/>
      <c r="R41" s="296"/>
    </row>
    <row r="48" spans="1:19" x14ac:dyDescent="0.3">
      <c r="B48" s="7"/>
      <c r="C48" s="7"/>
      <c r="D48" s="7"/>
      <c r="E48" s="7"/>
      <c r="F48" s="64"/>
      <c r="G48" s="64"/>
      <c r="H48" s="7"/>
      <c r="I48" s="7"/>
      <c r="J48" s="7"/>
      <c r="K48" s="7"/>
      <c r="L48" s="7"/>
      <c r="M48" s="296"/>
      <c r="N48" s="296"/>
      <c r="O48" s="7"/>
      <c r="P48" s="296"/>
      <c r="Q48" s="296"/>
      <c r="R48" s="296"/>
      <c r="S48" s="296"/>
    </row>
    <row r="49" spans="1:19" x14ac:dyDescent="0.3">
      <c r="F49" s="64"/>
      <c r="G49" s="64"/>
      <c r="P49" s="296"/>
      <c r="Q49" s="3"/>
      <c r="R49" s="3"/>
      <c r="S49" s="3"/>
    </row>
    <row r="50" spans="1:19" x14ac:dyDescent="0.3">
      <c r="F50" s="297"/>
      <c r="G50" s="297"/>
      <c r="P50" s="64"/>
      <c r="Q50" s="3"/>
      <c r="R50" s="3"/>
      <c r="S50" s="3"/>
    </row>
    <row r="51" spans="1:19" x14ac:dyDescent="0.3">
      <c r="F51" s="64"/>
      <c r="G51" s="64"/>
      <c r="P51" s="64"/>
      <c r="Q51" s="3"/>
      <c r="R51" s="3"/>
      <c r="S51" s="3"/>
    </row>
    <row r="52" spans="1:19" x14ac:dyDescent="0.3">
      <c r="F52" s="64"/>
      <c r="G52" s="64"/>
      <c r="P52" s="64"/>
    </row>
    <row r="53" spans="1:19" x14ac:dyDescent="0.3">
      <c r="F53" s="296"/>
      <c r="G53" s="296"/>
      <c r="P53" s="297"/>
    </row>
    <row r="54" spans="1:19" x14ac:dyDescent="0.3">
      <c r="P54" s="64"/>
    </row>
    <row r="55" spans="1:19" x14ac:dyDescent="0.3">
      <c r="P55" s="64"/>
    </row>
    <row r="56" spans="1:19" x14ac:dyDescent="0.3">
      <c r="P56" s="296"/>
    </row>
    <row r="62" spans="1:19" x14ac:dyDescent="0.3">
      <c r="A62" t="s">
        <v>252</v>
      </c>
    </row>
    <row r="63" spans="1:19" x14ac:dyDescent="0.3">
      <c r="A63" s="296"/>
      <c r="B63" s="296"/>
      <c r="C63" s="296"/>
      <c r="D63" s="296"/>
      <c r="E63" s="296"/>
      <c r="F63" s="296"/>
      <c r="G63" s="296"/>
      <c r="I63" s="330" t="s">
        <v>187</v>
      </c>
      <c r="J63" s="330"/>
      <c r="K63" s="330"/>
      <c r="L63" s="330" t="s">
        <v>92</v>
      </c>
      <c r="M63" s="330"/>
      <c r="N63" s="330"/>
    </row>
    <row r="64" spans="1:19" ht="16.2" customHeight="1" x14ac:dyDescent="0.3">
      <c r="A64" s="329" t="s">
        <v>200</v>
      </c>
      <c r="C64" s="329" t="s">
        <v>32</v>
      </c>
      <c r="D64" s="329"/>
      <c r="E64" s="329" t="s">
        <v>34</v>
      </c>
      <c r="F64" s="329"/>
      <c r="G64" s="329" t="s">
        <v>35</v>
      </c>
      <c r="H64" s="329"/>
      <c r="I64" s="296" t="s">
        <v>33</v>
      </c>
      <c r="J64" s="296" t="s">
        <v>34</v>
      </c>
      <c r="K64" s="296" t="s">
        <v>36</v>
      </c>
      <c r="L64" s="296" t="s">
        <v>33</v>
      </c>
      <c r="M64" s="296" t="s">
        <v>34</v>
      </c>
      <c r="N64" s="296" t="s">
        <v>36</v>
      </c>
      <c r="O64" s="318"/>
    </row>
    <row r="65" spans="1:21" x14ac:dyDescent="0.3">
      <c r="A65" s="329"/>
      <c r="C65" s="64" t="s">
        <v>22</v>
      </c>
      <c r="D65" s="64" t="s">
        <v>23</v>
      </c>
      <c r="E65" s="64" t="s">
        <v>24</v>
      </c>
      <c r="F65" s="64" t="s">
        <v>25</v>
      </c>
      <c r="G65" s="64" t="s">
        <v>26</v>
      </c>
      <c r="H65" s="64" t="s">
        <v>27</v>
      </c>
      <c r="I65" s="296"/>
      <c r="J65" s="296"/>
      <c r="K65" s="64"/>
      <c r="L65" s="296"/>
      <c r="M65" s="296"/>
      <c r="N65" s="296"/>
    </row>
    <row r="66" spans="1:21" x14ac:dyDescent="0.3">
      <c r="A66" s="296">
        <v>6</v>
      </c>
      <c r="C66" s="64">
        <v>350</v>
      </c>
      <c r="D66" s="64">
        <v>310</v>
      </c>
      <c r="E66" s="64"/>
      <c r="F66" s="64"/>
      <c r="G66" s="64"/>
      <c r="H66" s="64"/>
      <c r="I66" s="296">
        <f t="shared" ref="I66:I73" si="6">AVERAGE(C66,D66)</f>
        <v>330</v>
      </c>
      <c r="J66" s="296"/>
      <c r="K66" s="296"/>
      <c r="L66" s="323">
        <f t="shared" ref="L66:L73" si="7">_xlfn.STDEV.S(C66,D66)</f>
        <v>28.284271247461902</v>
      </c>
      <c r="M66" s="323"/>
      <c r="N66" s="323"/>
    </row>
    <row r="67" spans="1:21" x14ac:dyDescent="0.3">
      <c r="A67" s="296">
        <v>7</v>
      </c>
      <c r="C67" s="64">
        <v>385</v>
      </c>
      <c r="D67" s="64">
        <v>350</v>
      </c>
      <c r="E67" s="64"/>
      <c r="F67" s="64"/>
      <c r="G67" s="64"/>
      <c r="H67" s="64"/>
      <c r="I67" s="296">
        <f t="shared" si="6"/>
        <v>367.5</v>
      </c>
      <c r="J67" s="296"/>
      <c r="K67" s="296"/>
      <c r="L67" s="323">
        <f t="shared" si="7"/>
        <v>24.748737341529164</v>
      </c>
      <c r="M67" s="323"/>
      <c r="N67" s="323"/>
    </row>
    <row r="68" spans="1:21" x14ac:dyDescent="0.3">
      <c r="A68" s="64">
        <v>8</v>
      </c>
      <c r="B68">
        <v>2</v>
      </c>
      <c r="C68" s="64">
        <v>385</v>
      </c>
      <c r="D68" s="64">
        <v>401</v>
      </c>
      <c r="E68" s="64">
        <v>360</v>
      </c>
      <c r="F68" s="64">
        <v>360</v>
      </c>
      <c r="G68" s="64">
        <v>340</v>
      </c>
      <c r="H68" s="64">
        <v>345</v>
      </c>
      <c r="I68" s="296">
        <f t="shared" si="6"/>
        <v>393</v>
      </c>
      <c r="J68" s="296">
        <f t="shared" ref="J68:J73" si="8">AVERAGE(E68,F68)</f>
        <v>360</v>
      </c>
      <c r="K68" s="296">
        <f t="shared" ref="K68:K74" si="9">AVERAGE(G68,H68)</f>
        <v>342.5</v>
      </c>
      <c r="L68" s="323">
        <f t="shared" si="7"/>
        <v>11.313708498984761</v>
      </c>
      <c r="M68" s="323">
        <f t="shared" ref="M68:M73" si="10">_xlfn.STDEV.S(E68,F68)</f>
        <v>0</v>
      </c>
      <c r="N68" s="323">
        <f t="shared" ref="N68:N74" si="11">_xlfn.STDEV.S(G68,H68)</f>
        <v>3.5355339059327378</v>
      </c>
      <c r="O68" s="64"/>
      <c r="P68" s="64"/>
    </row>
    <row r="69" spans="1:21" x14ac:dyDescent="0.3">
      <c r="A69" s="64">
        <v>9</v>
      </c>
      <c r="B69">
        <v>3</v>
      </c>
      <c r="C69" s="64">
        <v>435</v>
      </c>
      <c r="D69" s="64">
        <v>380</v>
      </c>
      <c r="E69" s="64">
        <v>410</v>
      </c>
      <c r="F69" s="64">
        <v>425</v>
      </c>
      <c r="G69" s="64">
        <v>410</v>
      </c>
      <c r="H69" s="64">
        <v>430</v>
      </c>
      <c r="I69" s="296">
        <f t="shared" si="6"/>
        <v>407.5</v>
      </c>
      <c r="J69" s="296">
        <f t="shared" si="8"/>
        <v>417.5</v>
      </c>
      <c r="K69" s="296">
        <f t="shared" si="9"/>
        <v>420</v>
      </c>
      <c r="L69" s="323">
        <f t="shared" si="7"/>
        <v>38.890872965260115</v>
      </c>
      <c r="M69" s="323">
        <f t="shared" si="10"/>
        <v>10.606601717798213</v>
      </c>
      <c r="N69" s="323">
        <f t="shared" si="11"/>
        <v>14.142135623730951</v>
      </c>
      <c r="O69" s="64"/>
      <c r="P69" s="64"/>
    </row>
    <row r="70" spans="1:21" x14ac:dyDescent="0.3">
      <c r="A70" s="64">
        <v>10</v>
      </c>
      <c r="B70">
        <v>4</v>
      </c>
      <c r="C70" s="64">
        <v>528</v>
      </c>
      <c r="D70" s="64">
        <v>520</v>
      </c>
      <c r="E70" s="64">
        <v>500</v>
      </c>
      <c r="F70" s="64">
        <v>495</v>
      </c>
      <c r="G70" s="64">
        <v>450</v>
      </c>
      <c r="H70" s="64">
        <v>460</v>
      </c>
      <c r="I70" s="296">
        <f t="shared" si="6"/>
        <v>524</v>
      </c>
      <c r="J70" s="296">
        <f t="shared" si="8"/>
        <v>497.5</v>
      </c>
      <c r="K70" s="296">
        <f t="shared" si="9"/>
        <v>455</v>
      </c>
      <c r="L70" s="323">
        <f t="shared" si="7"/>
        <v>5.6568542494923806</v>
      </c>
      <c r="M70" s="323">
        <f t="shared" si="10"/>
        <v>3.5355339059327378</v>
      </c>
      <c r="N70" s="323">
        <f t="shared" si="11"/>
        <v>7.0710678118654755</v>
      </c>
      <c r="O70" s="64"/>
      <c r="P70" s="64"/>
    </row>
    <row r="71" spans="1:21" x14ac:dyDescent="0.3">
      <c r="A71" s="297">
        <v>11</v>
      </c>
      <c r="B71">
        <v>5</v>
      </c>
      <c r="C71" s="297">
        <v>560</v>
      </c>
      <c r="D71" s="297">
        <v>535</v>
      </c>
      <c r="E71" s="297">
        <v>545</v>
      </c>
      <c r="F71" s="297">
        <v>540</v>
      </c>
      <c r="G71" s="297">
        <v>485</v>
      </c>
      <c r="H71" s="297">
        <v>510</v>
      </c>
      <c r="I71" s="296">
        <f t="shared" si="6"/>
        <v>547.5</v>
      </c>
      <c r="J71" s="296">
        <f t="shared" si="8"/>
        <v>542.5</v>
      </c>
      <c r="K71" s="296">
        <f t="shared" si="9"/>
        <v>497.5</v>
      </c>
      <c r="L71" s="323">
        <f t="shared" si="7"/>
        <v>17.677669529663689</v>
      </c>
      <c r="M71" s="323">
        <f t="shared" si="10"/>
        <v>3.5355339059327378</v>
      </c>
      <c r="N71" s="323">
        <f t="shared" si="11"/>
        <v>17.677669529663689</v>
      </c>
      <c r="O71" s="64"/>
      <c r="P71" s="64"/>
    </row>
    <row r="72" spans="1:21" x14ac:dyDescent="0.3">
      <c r="A72" s="64">
        <v>12</v>
      </c>
      <c r="B72">
        <v>6</v>
      </c>
      <c r="C72" s="64">
        <v>585</v>
      </c>
      <c r="D72" s="64">
        <v>570</v>
      </c>
      <c r="E72" s="64">
        <v>560</v>
      </c>
      <c r="F72" s="64">
        <v>582</v>
      </c>
      <c r="G72" s="64">
        <v>565</v>
      </c>
      <c r="H72" s="64">
        <v>580</v>
      </c>
      <c r="I72" s="296">
        <f t="shared" si="6"/>
        <v>577.5</v>
      </c>
      <c r="J72" s="296">
        <f t="shared" si="8"/>
        <v>571</v>
      </c>
      <c r="K72" s="296">
        <f t="shared" si="9"/>
        <v>572.5</v>
      </c>
      <c r="L72" s="323">
        <f t="shared" si="7"/>
        <v>10.606601717798213</v>
      </c>
      <c r="M72" s="323">
        <f t="shared" si="10"/>
        <v>15.556349186104045</v>
      </c>
      <c r="N72" s="323">
        <f t="shared" si="11"/>
        <v>10.606601717798213</v>
      </c>
      <c r="O72" s="64"/>
      <c r="P72" s="64"/>
    </row>
    <row r="73" spans="1:21" x14ac:dyDescent="0.3">
      <c r="A73" s="64">
        <v>13</v>
      </c>
      <c r="B73">
        <v>7</v>
      </c>
      <c r="C73" s="64">
        <v>645</v>
      </c>
      <c r="D73" s="64">
        <v>670</v>
      </c>
      <c r="E73" s="64">
        <v>620</v>
      </c>
      <c r="F73" s="64">
        <v>605</v>
      </c>
      <c r="G73" s="64">
        <v>645</v>
      </c>
      <c r="H73" s="64">
        <v>590</v>
      </c>
      <c r="I73" s="296">
        <f t="shared" si="6"/>
        <v>657.5</v>
      </c>
      <c r="J73" s="296">
        <f t="shared" si="8"/>
        <v>612.5</v>
      </c>
      <c r="K73" s="296">
        <f t="shared" si="9"/>
        <v>617.5</v>
      </c>
      <c r="L73" s="323">
        <f t="shared" si="7"/>
        <v>17.677669529663689</v>
      </c>
      <c r="M73" s="323">
        <f t="shared" si="10"/>
        <v>10.606601717798213</v>
      </c>
      <c r="N73" s="323">
        <f t="shared" si="11"/>
        <v>38.890872965260115</v>
      </c>
      <c r="O73" s="64"/>
      <c r="P73" s="64"/>
    </row>
    <row r="74" spans="1:21" x14ac:dyDescent="0.3">
      <c r="A74" s="296">
        <v>14</v>
      </c>
      <c r="B74">
        <v>8</v>
      </c>
      <c r="C74" s="296"/>
      <c r="D74" s="296"/>
      <c r="G74" s="296">
        <v>620</v>
      </c>
      <c r="H74" s="296">
        <v>645</v>
      </c>
      <c r="I74" s="296"/>
      <c r="J74" s="296"/>
      <c r="K74" s="296">
        <f t="shared" si="9"/>
        <v>632.5</v>
      </c>
      <c r="L74" s="323"/>
      <c r="M74" s="323"/>
      <c r="N74" s="323">
        <f t="shared" si="11"/>
        <v>17.677669529663689</v>
      </c>
    </row>
    <row r="75" spans="1:21" ht="32.4" x14ac:dyDescent="0.3">
      <c r="A75" s="64">
        <v>15</v>
      </c>
      <c r="B75">
        <v>9</v>
      </c>
      <c r="C75" s="296"/>
      <c r="D75" s="296"/>
      <c r="I75" s="296"/>
      <c r="J75" s="296"/>
      <c r="K75" s="298" t="s">
        <v>202</v>
      </c>
      <c r="L75" s="323">
        <f>AVERAGE(L66:L73)</f>
        <v>19.357048134981742</v>
      </c>
      <c r="M75" s="323">
        <f>AVERAGE(M68:M73)</f>
        <v>7.3067700722609912</v>
      </c>
      <c r="N75" s="323">
        <f>AVERAGE(N68:N74)</f>
        <v>15.657364440559267</v>
      </c>
      <c r="O75" s="64"/>
      <c r="P75" s="64"/>
      <c r="R75" s="64"/>
      <c r="S75" s="64"/>
      <c r="T75" s="64"/>
      <c r="U75" s="64"/>
    </row>
    <row r="76" spans="1:21" x14ac:dyDescent="0.3">
      <c r="A76" s="64">
        <v>16</v>
      </c>
      <c r="B76">
        <v>10</v>
      </c>
      <c r="C76" s="296"/>
      <c r="D76" s="296"/>
      <c r="E76" s="296"/>
      <c r="F76" s="296"/>
      <c r="G76" s="296"/>
      <c r="N76" s="296"/>
      <c r="P76" s="296"/>
      <c r="Q76" s="296"/>
      <c r="R76" s="296"/>
      <c r="S76" s="296"/>
      <c r="T76" s="296"/>
      <c r="U76" s="7"/>
    </row>
    <row r="77" spans="1:21" x14ac:dyDescent="0.3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7"/>
      <c r="P77" s="7"/>
      <c r="Q77" s="7"/>
      <c r="R77" s="7"/>
      <c r="S77" s="7"/>
      <c r="T77" s="7"/>
      <c r="U77" s="7"/>
    </row>
  </sheetData>
  <mergeCells count="8">
    <mergeCell ref="A64:A65"/>
    <mergeCell ref="K1:M1"/>
    <mergeCell ref="N1:P1"/>
    <mergeCell ref="E64:F64"/>
    <mergeCell ref="C64:D64"/>
    <mergeCell ref="G64:H64"/>
    <mergeCell ref="I63:K63"/>
    <mergeCell ref="L63:N63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7464-BC3B-4D02-AB77-CC46DC73958E}">
  <dimension ref="A1:B34"/>
  <sheetViews>
    <sheetView topLeftCell="A29" workbookViewId="0">
      <selection activeCell="L12" sqref="L12"/>
    </sheetView>
  </sheetViews>
  <sheetFormatPr defaultRowHeight="16.2" x14ac:dyDescent="0.3"/>
  <cols>
    <col min="1" max="1" width="10.77734375" bestFit="1" customWidth="1"/>
    <col min="2" max="2" width="28.6640625" bestFit="1" customWidth="1"/>
    <col min="3" max="3" width="26.109375" bestFit="1" customWidth="1"/>
  </cols>
  <sheetData>
    <row r="1" spans="1:2" x14ac:dyDescent="0.3">
      <c r="A1" s="314" t="s">
        <v>241</v>
      </c>
      <c r="B1" t="s">
        <v>243</v>
      </c>
    </row>
    <row r="2" spans="1:2" x14ac:dyDescent="0.3">
      <c r="A2" s="113">
        <v>1</v>
      </c>
      <c r="B2" s="313">
        <v>590.18888888888887</v>
      </c>
    </row>
    <row r="3" spans="1:2" x14ac:dyDescent="0.3">
      <c r="A3" s="113">
        <v>2</v>
      </c>
      <c r="B3" s="313">
        <v>479.05555555555554</v>
      </c>
    </row>
    <row r="4" spans="1:2" x14ac:dyDescent="0.3">
      <c r="A4" s="113">
        <v>3</v>
      </c>
      <c r="B4" s="313">
        <v>498.22222222222223</v>
      </c>
    </row>
    <row r="5" spans="1:2" x14ac:dyDescent="0.3">
      <c r="A5" s="113">
        <v>4</v>
      </c>
      <c r="B5" s="313">
        <v>572.33333333333337</v>
      </c>
    </row>
    <row r="6" spans="1:2" x14ac:dyDescent="0.3">
      <c r="A6" s="113">
        <v>5</v>
      </c>
      <c r="B6" s="313">
        <v>499.77777777777777</v>
      </c>
    </row>
    <row r="7" spans="1:2" x14ac:dyDescent="0.3">
      <c r="A7" s="113">
        <v>6</v>
      </c>
      <c r="B7" s="313">
        <v>612.94444444444446</v>
      </c>
    </row>
    <row r="8" spans="1:2" x14ac:dyDescent="0.3">
      <c r="A8" s="113">
        <v>7</v>
      </c>
      <c r="B8" s="313">
        <v>529.88888888888891</v>
      </c>
    </row>
    <row r="9" spans="1:2" x14ac:dyDescent="0.3">
      <c r="A9" s="113">
        <v>8</v>
      </c>
      <c r="B9" s="313">
        <v>640.16666666666663</v>
      </c>
    </row>
    <row r="10" spans="1:2" x14ac:dyDescent="0.3">
      <c r="A10" s="113">
        <v>9</v>
      </c>
      <c r="B10" s="313">
        <v>656.88888888888891</v>
      </c>
    </row>
    <row r="11" spans="1:2" x14ac:dyDescent="0.3">
      <c r="A11" s="113">
        <v>10</v>
      </c>
      <c r="B11" s="313">
        <v>757.55555555555554</v>
      </c>
    </row>
    <row r="12" spans="1:2" x14ac:dyDescent="0.3">
      <c r="A12" s="113">
        <v>11</v>
      </c>
      <c r="B12" s="313">
        <v>878.38888888888891</v>
      </c>
    </row>
    <row r="13" spans="1:2" x14ac:dyDescent="0.3">
      <c r="A13" s="113">
        <v>12</v>
      </c>
      <c r="B13" s="313">
        <v>723.44444444444446</v>
      </c>
    </row>
    <row r="14" spans="1:2" x14ac:dyDescent="0.3">
      <c r="A14" s="113">
        <v>13</v>
      </c>
      <c r="B14" s="313">
        <v>632.05555555555554</v>
      </c>
    </row>
    <row r="15" spans="1:2" x14ac:dyDescent="0.3">
      <c r="A15" s="113">
        <v>14</v>
      </c>
      <c r="B15" s="313">
        <v>751</v>
      </c>
    </row>
    <row r="16" spans="1:2" x14ac:dyDescent="0.3">
      <c r="A16" s="113">
        <v>15</v>
      </c>
      <c r="B16" s="313">
        <v>804.72222222222217</v>
      </c>
    </row>
    <row r="17" spans="1:2" x14ac:dyDescent="0.3">
      <c r="A17" s="113">
        <v>16</v>
      </c>
      <c r="B17" s="313">
        <v>790.77777777777783</v>
      </c>
    </row>
    <row r="18" spans="1:2" x14ac:dyDescent="0.3">
      <c r="A18" s="113">
        <v>17</v>
      </c>
      <c r="B18" s="313">
        <v>795.55555555555554</v>
      </c>
    </row>
    <row r="19" spans="1:2" x14ac:dyDescent="0.3">
      <c r="A19" s="113">
        <v>24</v>
      </c>
      <c r="B19" s="313">
        <v>787.88888888888891</v>
      </c>
    </row>
    <row r="20" spans="1:2" x14ac:dyDescent="0.3">
      <c r="A20" s="113">
        <v>26</v>
      </c>
      <c r="B20" s="313">
        <v>808.55555555555554</v>
      </c>
    </row>
    <row r="21" spans="1:2" x14ac:dyDescent="0.3">
      <c r="A21" s="113">
        <v>28</v>
      </c>
      <c r="B21" s="313">
        <v>749.33333333333337</v>
      </c>
    </row>
    <row r="22" spans="1:2" x14ac:dyDescent="0.3">
      <c r="A22" s="113" t="s">
        <v>242</v>
      </c>
      <c r="B22" s="313">
        <v>677.9372222222222</v>
      </c>
    </row>
    <row r="29" spans="1:2" x14ac:dyDescent="0.3">
      <c r="A29" s="314" t="s">
        <v>241</v>
      </c>
      <c r="B29" t="s">
        <v>244</v>
      </c>
    </row>
    <row r="30" spans="1:2" x14ac:dyDescent="0.3">
      <c r="A30" s="113">
        <v>10</v>
      </c>
      <c r="B30">
        <v>22.470140645047429</v>
      </c>
    </row>
    <row r="31" spans="1:2" x14ac:dyDescent="0.3">
      <c r="A31" s="113">
        <v>12</v>
      </c>
      <c r="B31">
        <v>57.035414063619591</v>
      </c>
    </row>
    <row r="32" spans="1:2" x14ac:dyDescent="0.3">
      <c r="A32" s="113">
        <v>14</v>
      </c>
      <c r="B32">
        <v>96.12199474746248</v>
      </c>
    </row>
    <row r="33" spans="1:2" x14ac:dyDescent="0.3">
      <c r="A33" s="113">
        <v>16</v>
      </c>
      <c r="B33">
        <v>52.621458872587262</v>
      </c>
    </row>
    <row r="34" spans="1:2" x14ac:dyDescent="0.3">
      <c r="A34" s="113" t="s">
        <v>242</v>
      </c>
      <c r="B34">
        <v>57.062252082179185</v>
      </c>
    </row>
  </sheetData>
  <phoneticPr fontId="1" type="noConversion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852B-A9B0-42A1-9EF1-907C9FE1EA24}">
  <dimension ref="A1:AE193"/>
  <sheetViews>
    <sheetView zoomScale="96" workbookViewId="0">
      <selection activeCell="C7" sqref="C7"/>
    </sheetView>
  </sheetViews>
  <sheetFormatPr defaultRowHeight="16.2" x14ac:dyDescent="0.3"/>
  <cols>
    <col min="1" max="16" width="10.77734375" customWidth="1"/>
    <col min="25" max="26" width="9.6640625" bestFit="1" customWidth="1"/>
  </cols>
  <sheetData>
    <row r="1" spans="1:12" x14ac:dyDescent="0.3">
      <c r="A1" s="2" t="s">
        <v>39</v>
      </c>
      <c r="C1" t="s">
        <v>0</v>
      </c>
      <c r="D1" t="s">
        <v>1</v>
      </c>
      <c r="H1" t="s">
        <v>0</v>
      </c>
      <c r="I1" t="s">
        <v>1</v>
      </c>
      <c r="L1" t="s">
        <v>116</v>
      </c>
    </row>
    <row r="2" spans="1:12" ht="16.2" customHeight="1" x14ac:dyDescent="0.3">
      <c r="A2">
        <v>1</v>
      </c>
      <c r="B2" s="3" t="s">
        <v>145</v>
      </c>
      <c r="C2" s="1" t="s">
        <v>17</v>
      </c>
      <c r="D2" s="1" t="s">
        <v>16</v>
      </c>
      <c r="F2">
        <v>1</v>
      </c>
      <c r="G2" t="str">
        <f t="shared" ref="G2:I3" si="0">B2</f>
        <v>傳動比</v>
      </c>
      <c r="H2" t="str">
        <f t="shared" si="0"/>
        <v>1:1</v>
      </c>
      <c r="I2" t="str">
        <f t="shared" si="0"/>
        <v>1:2</v>
      </c>
    </row>
    <row r="3" spans="1:12" ht="114" customHeight="1" x14ac:dyDescent="0.3">
      <c r="A3">
        <v>2</v>
      </c>
      <c r="B3" s="3" t="s">
        <v>103</v>
      </c>
      <c r="C3" t="s">
        <v>3</v>
      </c>
      <c r="D3" t="s">
        <v>2</v>
      </c>
      <c r="F3">
        <v>2</v>
      </c>
      <c r="G3" t="str">
        <f>B3</f>
        <v>齒輪單雙側傳動給輪子</v>
      </c>
      <c r="H3" t="str">
        <f t="shared" si="0"/>
        <v>雙</v>
      </c>
      <c r="I3" t="str">
        <f t="shared" si="0"/>
        <v>單</v>
      </c>
    </row>
    <row r="4" spans="1:12" x14ac:dyDescent="0.3">
      <c r="A4">
        <v>4</v>
      </c>
      <c r="B4" s="3" t="s">
        <v>63</v>
      </c>
      <c r="C4" t="s">
        <v>119</v>
      </c>
      <c r="D4" t="s">
        <v>118</v>
      </c>
      <c r="F4" t="s">
        <v>9</v>
      </c>
      <c r="G4" t="str">
        <f>"&lt;"&amp;B2&amp;"&gt;和&lt;"&amp;B3&amp;"&gt;交互關係"</f>
        <v>&lt;傳動比&gt;和&lt;齒輪單雙側傳動給輪子&gt;交互關係</v>
      </c>
    </row>
    <row r="5" spans="1:12" x14ac:dyDescent="0.3">
      <c r="A5">
        <v>8</v>
      </c>
      <c r="B5" s="3" t="s">
        <v>73</v>
      </c>
      <c r="C5" s="1" t="s">
        <v>52</v>
      </c>
      <c r="D5" s="1" t="s">
        <v>50</v>
      </c>
      <c r="F5">
        <v>4</v>
      </c>
      <c r="G5" t="str">
        <f>B4</f>
        <v>齒輪數量</v>
      </c>
      <c r="H5" t="str">
        <f>C4</f>
        <v>3個(前驅)</v>
      </c>
      <c r="I5" t="str">
        <f>D4</f>
        <v>2個(後驅)</v>
      </c>
    </row>
    <row r="6" spans="1:12" x14ac:dyDescent="0.3">
      <c r="A6">
        <v>15</v>
      </c>
      <c r="B6" s="3" t="s">
        <v>48</v>
      </c>
      <c r="C6" t="s">
        <v>81</v>
      </c>
      <c r="D6" t="s">
        <v>83</v>
      </c>
      <c r="F6" t="s">
        <v>10</v>
      </c>
      <c r="G6" t="str">
        <f>"&lt;"&amp;B2&amp;"&gt;和&lt;"&amp;B4&amp;"&gt;交互關係"</f>
        <v>&lt;傳動比&gt;和&lt;齒輪數量&gt;交互關係</v>
      </c>
    </row>
    <row r="7" spans="1:12" x14ac:dyDescent="0.3">
      <c r="A7">
        <v>10</v>
      </c>
      <c r="B7" s="3" t="s">
        <v>68</v>
      </c>
      <c r="C7" t="s">
        <v>77</v>
      </c>
      <c r="D7" t="s">
        <v>79</v>
      </c>
      <c r="F7" t="s">
        <v>11</v>
      </c>
      <c r="G7" t="str">
        <f>"&lt;"&amp;B3&amp;"&gt;和&lt;"&amp;B4&amp;"&gt;交互關係"</f>
        <v>&lt;齒輪單雙側傳動給輪子&gt;和&lt;齒輪數量&gt;交互關係</v>
      </c>
    </row>
    <row r="8" spans="1:12" x14ac:dyDescent="0.3">
      <c r="A8">
        <v>12</v>
      </c>
      <c r="B8" s="3" t="s">
        <v>70</v>
      </c>
      <c r="C8" t="s">
        <v>77</v>
      </c>
      <c r="D8" t="s">
        <v>79</v>
      </c>
      <c r="F8" t="s">
        <v>19</v>
      </c>
      <c r="G8" t="str">
        <f>"&lt;"&amp;B5&amp;"&gt;和&lt;"&amp;B6&amp;"&gt;交互關係"</f>
        <v>&lt;輪子數&gt;和&lt;輪子厚度&gt;交互關係</v>
      </c>
    </row>
    <row r="9" spans="1:12" x14ac:dyDescent="0.3">
      <c r="F9">
        <v>8</v>
      </c>
      <c r="G9" t="str">
        <f>B5</f>
        <v>輪子數</v>
      </c>
      <c r="H9" s="1" t="str">
        <f>C5</f>
        <v>4輪</v>
      </c>
      <c r="I9" s="1" t="str">
        <f>D5</f>
        <v>3輪</v>
      </c>
      <c r="J9" s="1"/>
    </row>
    <row r="10" spans="1:12" x14ac:dyDescent="0.3">
      <c r="F10" t="s">
        <v>12</v>
      </c>
      <c r="G10" t="str">
        <f>"&lt;"&amp;B2&amp;"&gt;和&lt;"&amp;B5&amp;"&gt;交互關係"</f>
        <v>&lt;傳動比&gt;和&lt;輪子數&gt;交互關係</v>
      </c>
    </row>
    <row r="11" spans="1:12" x14ac:dyDescent="0.3">
      <c r="F11">
        <v>10</v>
      </c>
      <c r="G11" t="str">
        <f>B7</f>
        <v>前輪直徑</v>
      </c>
      <c r="H11" t="str">
        <f>C7</f>
        <v>大(45mm)</v>
      </c>
      <c r="I11" t="str">
        <f>D7</f>
        <v>小(35mm)</v>
      </c>
    </row>
    <row r="12" spans="1:12" x14ac:dyDescent="0.3">
      <c r="F12" t="s">
        <v>13</v>
      </c>
      <c r="G12" t="str">
        <f>"&lt;"&amp;B2&amp;"&gt;和&lt;"&amp;B7&amp;"&gt;交互關係"</f>
        <v>&lt;傳動比&gt;和&lt;前輪直徑&gt;交互關係</v>
      </c>
    </row>
    <row r="13" spans="1:12" x14ac:dyDescent="0.3">
      <c r="F13">
        <v>12</v>
      </c>
      <c r="G13" t="str">
        <f>B8</f>
        <v>後輪直徑</v>
      </c>
      <c r="H13" t="str">
        <f>C8</f>
        <v>大(45mm)</v>
      </c>
      <c r="I13" t="str">
        <f>D8</f>
        <v>小(35mm)</v>
      </c>
    </row>
    <row r="14" spans="1:12" x14ac:dyDescent="0.3">
      <c r="F14" t="s">
        <v>14</v>
      </c>
      <c r="G14" t="str">
        <f>"&lt;"&amp;B2&amp;"&gt;和&lt;"&amp;B8&amp;"&gt;交互關係"</f>
        <v>&lt;傳動比&gt;和&lt;後輪直徑&gt;交互關係</v>
      </c>
    </row>
    <row r="15" spans="1:12" x14ac:dyDescent="0.3">
      <c r="F15" t="s">
        <v>15</v>
      </c>
      <c r="G15" t="str">
        <f>"&lt;"&amp;B2&amp;"&gt;和&lt;"&amp;B6&amp;"&gt;交互關係"</f>
        <v>&lt;傳動比&gt;和&lt;輪子厚度&gt;交互關係</v>
      </c>
    </row>
    <row r="16" spans="1:12" x14ac:dyDescent="0.3">
      <c r="F16">
        <v>15</v>
      </c>
      <c r="G16" t="str">
        <f>B6</f>
        <v>輪子厚度</v>
      </c>
      <c r="H16" t="str">
        <f>C6</f>
        <v>單(3.5mm)</v>
      </c>
      <c r="I16" t="str">
        <f>D6</f>
        <v>雙(7mm)</v>
      </c>
      <c r="L16" t="s">
        <v>115</v>
      </c>
    </row>
    <row r="18" spans="1:31" x14ac:dyDescent="0.3">
      <c r="A18" s="7" t="s">
        <v>40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3">
      <c r="A19" s="7" t="s">
        <v>8</v>
      </c>
      <c r="B19" s="7">
        <v>1</v>
      </c>
      <c r="C19" s="7">
        <v>2</v>
      </c>
      <c r="D19" s="7">
        <v>3</v>
      </c>
      <c r="E19" s="7">
        <v>4</v>
      </c>
      <c r="F19" s="7">
        <v>5</v>
      </c>
      <c r="G19" s="7">
        <v>6</v>
      </c>
      <c r="H19" s="7">
        <v>7</v>
      </c>
      <c r="I19" s="7">
        <v>8</v>
      </c>
      <c r="J19" s="7">
        <v>9</v>
      </c>
      <c r="K19" s="7">
        <v>10</v>
      </c>
      <c r="L19" s="7">
        <v>11</v>
      </c>
      <c r="M19" s="7">
        <v>12</v>
      </c>
      <c r="N19" s="7">
        <v>13</v>
      </c>
      <c r="O19" s="7">
        <v>14</v>
      </c>
      <c r="P19" s="7">
        <v>15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3">
      <c r="A20" s="7">
        <v>1</v>
      </c>
      <c r="B20" s="7">
        <v>1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3">
      <c r="A21" s="7">
        <v>2</v>
      </c>
      <c r="B21" s="7">
        <v>1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2</v>
      </c>
      <c r="J21" s="7">
        <v>2</v>
      </c>
      <c r="K21" s="7">
        <v>2</v>
      </c>
      <c r="L21" s="7">
        <v>2</v>
      </c>
      <c r="M21" s="7">
        <v>2</v>
      </c>
      <c r="N21" s="7">
        <v>2</v>
      </c>
      <c r="O21" s="7">
        <v>2</v>
      </c>
      <c r="P21" s="7">
        <v>2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3">
      <c r="A22" s="7">
        <v>3</v>
      </c>
      <c r="B22" s="7">
        <v>1</v>
      </c>
      <c r="C22" s="7">
        <v>1</v>
      </c>
      <c r="D22" s="7">
        <v>1</v>
      </c>
      <c r="E22" s="7">
        <v>2</v>
      </c>
      <c r="F22" s="7">
        <v>2</v>
      </c>
      <c r="G22" s="7">
        <v>2</v>
      </c>
      <c r="H22" s="7">
        <v>2</v>
      </c>
      <c r="I22" s="7">
        <v>1</v>
      </c>
      <c r="J22" s="7">
        <v>1</v>
      </c>
      <c r="K22" s="7">
        <v>1</v>
      </c>
      <c r="L22" s="7">
        <v>1</v>
      </c>
      <c r="M22" s="7">
        <v>2</v>
      </c>
      <c r="N22" s="7">
        <v>2</v>
      </c>
      <c r="O22" s="7">
        <v>2</v>
      </c>
      <c r="P22" s="7">
        <v>2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3">
      <c r="A23" s="7">
        <v>4</v>
      </c>
      <c r="B23" s="7">
        <v>1</v>
      </c>
      <c r="C23" s="7">
        <v>1</v>
      </c>
      <c r="D23" s="7">
        <v>1</v>
      </c>
      <c r="E23" s="7">
        <v>2</v>
      </c>
      <c r="F23" s="7">
        <v>2</v>
      </c>
      <c r="G23" s="7">
        <v>2</v>
      </c>
      <c r="H23" s="7">
        <v>2</v>
      </c>
      <c r="I23" s="7">
        <v>2</v>
      </c>
      <c r="J23" s="7">
        <v>2</v>
      </c>
      <c r="K23" s="7">
        <v>2</v>
      </c>
      <c r="L23" s="7">
        <v>2</v>
      </c>
      <c r="M23" s="7">
        <v>1</v>
      </c>
      <c r="N23" s="7">
        <v>1</v>
      </c>
      <c r="O23" s="7">
        <v>1</v>
      </c>
      <c r="P23" s="7">
        <v>1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3">
      <c r="A24" s="7">
        <v>5</v>
      </c>
      <c r="B24" s="7">
        <v>1</v>
      </c>
      <c r="C24" s="7">
        <v>2</v>
      </c>
      <c r="D24" s="7">
        <v>2</v>
      </c>
      <c r="E24" s="7">
        <v>1</v>
      </c>
      <c r="F24" s="7">
        <v>1</v>
      </c>
      <c r="G24" s="7">
        <v>2</v>
      </c>
      <c r="H24" s="7">
        <v>2</v>
      </c>
      <c r="I24" s="7">
        <v>1</v>
      </c>
      <c r="J24" s="7">
        <v>1</v>
      </c>
      <c r="K24" s="7">
        <v>2</v>
      </c>
      <c r="L24" s="7">
        <v>2</v>
      </c>
      <c r="M24" s="7">
        <v>1</v>
      </c>
      <c r="N24" s="7">
        <v>1</v>
      </c>
      <c r="O24" s="7">
        <v>2</v>
      </c>
      <c r="P24" s="7">
        <v>2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3">
      <c r="A25" s="7">
        <v>6</v>
      </c>
      <c r="B25" s="7">
        <v>1</v>
      </c>
      <c r="C25" s="7">
        <v>2</v>
      </c>
      <c r="D25" s="7">
        <v>2</v>
      </c>
      <c r="E25" s="7">
        <v>1</v>
      </c>
      <c r="F25" s="7">
        <v>1</v>
      </c>
      <c r="G25" s="7">
        <v>2</v>
      </c>
      <c r="H25" s="7">
        <v>2</v>
      </c>
      <c r="I25" s="7">
        <v>2</v>
      </c>
      <c r="J25" s="7">
        <v>2</v>
      </c>
      <c r="K25" s="7">
        <v>1</v>
      </c>
      <c r="L25" s="7">
        <v>1</v>
      </c>
      <c r="M25" s="7">
        <v>2</v>
      </c>
      <c r="N25" s="7">
        <v>2</v>
      </c>
      <c r="O25" s="7">
        <v>1</v>
      </c>
      <c r="P25" s="7">
        <v>1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3">
      <c r="A26" s="7">
        <v>7</v>
      </c>
      <c r="B26" s="7">
        <v>1</v>
      </c>
      <c r="C26" s="7">
        <v>2</v>
      </c>
      <c r="D26" s="7">
        <v>2</v>
      </c>
      <c r="E26" s="7">
        <v>2</v>
      </c>
      <c r="F26" s="7">
        <v>2</v>
      </c>
      <c r="G26" s="7">
        <v>1</v>
      </c>
      <c r="H26" s="7">
        <v>1</v>
      </c>
      <c r="I26" s="7">
        <v>1</v>
      </c>
      <c r="J26" s="7">
        <v>1</v>
      </c>
      <c r="K26" s="7">
        <v>2</v>
      </c>
      <c r="L26" s="7">
        <v>2</v>
      </c>
      <c r="M26" s="7">
        <v>2</v>
      </c>
      <c r="N26" s="7">
        <v>2</v>
      </c>
      <c r="O26" s="7">
        <v>1</v>
      </c>
      <c r="P26" s="7">
        <v>1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3">
      <c r="A27" s="7">
        <v>8</v>
      </c>
      <c r="B27" s="7">
        <v>1</v>
      </c>
      <c r="C27" s="7">
        <v>2</v>
      </c>
      <c r="D27" s="7">
        <v>2</v>
      </c>
      <c r="E27" s="7">
        <v>2</v>
      </c>
      <c r="F27" s="7">
        <v>2</v>
      </c>
      <c r="G27" s="7">
        <v>1</v>
      </c>
      <c r="H27" s="7">
        <v>1</v>
      </c>
      <c r="I27" s="7">
        <v>2</v>
      </c>
      <c r="J27" s="7">
        <v>2</v>
      </c>
      <c r="K27" s="7">
        <v>1</v>
      </c>
      <c r="L27" s="7">
        <v>1</v>
      </c>
      <c r="M27" s="7">
        <v>1</v>
      </c>
      <c r="N27" s="7">
        <v>1</v>
      </c>
      <c r="O27" s="7">
        <v>2</v>
      </c>
      <c r="P27" s="7">
        <v>2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3">
      <c r="A28" s="7">
        <v>9</v>
      </c>
      <c r="B28" s="7">
        <v>2</v>
      </c>
      <c r="C28" s="7">
        <v>1</v>
      </c>
      <c r="D28" s="7">
        <v>2</v>
      </c>
      <c r="E28" s="7">
        <v>1</v>
      </c>
      <c r="F28" s="7">
        <v>2</v>
      </c>
      <c r="G28" s="7">
        <v>1</v>
      </c>
      <c r="H28" s="7">
        <v>2</v>
      </c>
      <c r="I28" s="7">
        <v>1</v>
      </c>
      <c r="J28" s="7">
        <v>2</v>
      </c>
      <c r="K28" s="7">
        <v>1</v>
      </c>
      <c r="L28" s="7">
        <v>2</v>
      </c>
      <c r="M28" s="7">
        <v>1</v>
      </c>
      <c r="N28" s="7">
        <v>2</v>
      </c>
      <c r="O28" s="7">
        <v>1</v>
      </c>
      <c r="P28" s="7">
        <v>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3">
      <c r="A29" s="7">
        <v>10</v>
      </c>
      <c r="B29" s="7">
        <v>2</v>
      </c>
      <c r="C29" s="7">
        <v>1</v>
      </c>
      <c r="D29" s="7">
        <v>2</v>
      </c>
      <c r="E29" s="7">
        <v>1</v>
      </c>
      <c r="F29" s="7">
        <v>2</v>
      </c>
      <c r="G29" s="7">
        <v>1</v>
      </c>
      <c r="H29" s="7">
        <v>2</v>
      </c>
      <c r="I29" s="7">
        <v>2</v>
      </c>
      <c r="J29" s="7">
        <v>1</v>
      </c>
      <c r="K29" s="7">
        <v>2</v>
      </c>
      <c r="L29" s="7">
        <v>1</v>
      </c>
      <c r="M29" s="7">
        <v>2</v>
      </c>
      <c r="N29" s="7">
        <v>1</v>
      </c>
      <c r="O29" s="7">
        <v>2</v>
      </c>
      <c r="P29" s="7">
        <v>1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3">
      <c r="A30" s="7">
        <v>11</v>
      </c>
      <c r="B30" s="7">
        <v>2</v>
      </c>
      <c r="C30" s="7">
        <v>1</v>
      </c>
      <c r="D30" s="7">
        <v>2</v>
      </c>
      <c r="E30" s="7">
        <v>2</v>
      </c>
      <c r="F30" s="7">
        <v>1</v>
      </c>
      <c r="G30" s="7">
        <v>2</v>
      </c>
      <c r="H30" s="7">
        <v>1</v>
      </c>
      <c r="I30" s="7">
        <v>1</v>
      </c>
      <c r="J30" s="7">
        <v>2</v>
      </c>
      <c r="K30" s="7">
        <v>1</v>
      </c>
      <c r="L30" s="7">
        <v>2</v>
      </c>
      <c r="M30" s="7">
        <v>2</v>
      </c>
      <c r="N30" s="7">
        <v>1</v>
      </c>
      <c r="O30" s="7">
        <v>2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3">
      <c r="A31" s="7">
        <v>12</v>
      </c>
      <c r="B31" s="7">
        <v>2</v>
      </c>
      <c r="C31" s="7">
        <v>1</v>
      </c>
      <c r="D31" s="7">
        <v>2</v>
      </c>
      <c r="E31" s="7">
        <v>2</v>
      </c>
      <c r="F31" s="7">
        <v>1</v>
      </c>
      <c r="G31" s="7">
        <v>2</v>
      </c>
      <c r="H31" s="7">
        <v>1</v>
      </c>
      <c r="I31" s="7">
        <v>2</v>
      </c>
      <c r="J31" s="7">
        <v>1</v>
      </c>
      <c r="K31" s="7">
        <v>2</v>
      </c>
      <c r="L31" s="7">
        <v>1</v>
      </c>
      <c r="M31" s="7">
        <v>1</v>
      </c>
      <c r="N31" s="7">
        <v>2</v>
      </c>
      <c r="O31" s="7">
        <v>1</v>
      </c>
      <c r="P31" s="7">
        <v>2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3">
      <c r="A32" s="7">
        <v>13</v>
      </c>
      <c r="B32" s="7">
        <v>2</v>
      </c>
      <c r="C32" s="7">
        <v>2</v>
      </c>
      <c r="D32" s="7">
        <v>1</v>
      </c>
      <c r="E32" s="7">
        <v>1</v>
      </c>
      <c r="F32" s="7">
        <v>2</v>
      </c>
      <c r="G32" s="7">
        <v>2</v>
      </c>
      <c r="H32" s="7">
        <v>1</v>
      </c>
      <c r="I32" s="7">
        <v>1</v>
      </c>
      <c r="J32" s="7">
        <v>2</v>
      </c>
      <c r="K32" s="7">
        <v>2</v>
      </c>
      <c r="L32" s="7">
        <v>1</v>
      </c>
      <c r="M32" s="7">
        <v>1</v>
      </c>
      <c r="N32" s="7">
        <v>2</v>
      </c>
      <c r="O32" s="7">
        <v>2</v>
      </c>
      <c r="P32" s="7">
        <v>1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3">
      <c r="A33" s="7">
        <v>14</v>
      </c>
      <c r="B33" s="7">
        <v>2</v>
      </c>
      <c r="C33" s="7">
        <v>2</v>
      </c>
      <c r="D33" s="7">
        <v>1</v>
      </c>
      <c r="E33" s="7">
        <v>1</v>
      </c>
      <c r="F33" s="7">
        <v>2</v>
      </c>
      <c r="G33" s="7">
        <v>2</v>
      </c>
      <c r="H33" s="7">
        <v>1</v>
      </c>
      <c r="I33" s="7">
        <v>2</v>
      </c>
      <c r="J33" s="7">
        <v>1</v>
      </c>
      <c r="K33" s="7">
        <v>1</v>
      </c>
      <c r="L33" s="7">
        <v>2</v>
      </c>
      <c r="M33" s="7">
        <v>2</v>
      </c>
      <c r="N33" s="7">
        <v>1</v>
      </c>
      <c r="O33" s="7">
        <v>1</v>
      </c>
      <c r="P33" s="7">
        <v>2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3">
      <c r="A34" s="7">
        <v>15</v>
      </c>
      <c r="B34" s="7">
        <v>2</v>
      </c>
      <c r="C34" s="7">
        <v>2</v>
      </c>
      <c r="D34" s="7">
        <v>1</v>
      </c>
      <c r="E34" s="7">
        <v>2</v>
      </c>
      <c r="F34" s="7">
        <v>1</v>
      </c>
      <c r="G34" s="7">
        <v>1</v>
      </c>
      <c r="H34" s="7">
        <v>2</v>
      </c>
      <c r="I34" s="7">
        <v>1</v>
      </c>
      <c r="J34" s="7">
        <v>2</v>
      </c>
      <c r="K34" s="7">
        <v>2</v>
      </c>
      <c r="L34" s="7">
        <v>1</v>
      </c>
      <c r="M34" s="7">
        <v>2</v>
      </c>
      <c r="N34" s="7">
        <v>1</v>
      </c>
      <c r="O34" s="7">
        <v>1</v>
      </c>
      <c r="P34" s="7">
        <v>2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3">
      <c r="A35" s="7">
        <v>16</v>
      </c>
      <c r="B35" s="7">
        <v>2</v>
      </c>
      <c r="C35" s="7">
        <v>2</v>
      </c>
      <c r="D35" s="7">
        <v>1</v>
      </c>
      <c r="E35" s="7">
        <v>2</v>
      </c>
      <c r="F35" s="7">
        <v>1</v>
      </c>
      <c r="G35" s="7">
        <v>1</v>
      </c>
      <c r="H35" s="7">
        <v>2</v>
      </c>
      <c r="I35" s="7">
        <v>2</v>
      </c>
      <c r="J35" s="7">
        <v>1</v>
      </c>
      <c r="K35" s="7">
        <v>1</v>
      </c>
      <c r="L35" s="7">
        <v>2</v>
      </c>
      <c r="M35" s="7">
        <v>1</v>
      </c>
      <c r="N35" s="7">
        <v>2</v>
      </c>
      <c r="O35" s="7">
        <v>2</v>
      </c>
      <c r="P35" s="7">
        <v>1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3">
      <c r="A36" s="7" t="s">
        <v>114</v>
      </c>
      <c r="B36" s="7">
        <v>2</v>
      </c>
      <c r="C36" s="7">
        <v>2</v>
      </c>
      <c r="D36" s="7"/>
      <c r="E36" s="7">
        <v>2</v>
      </c>
      <c r="F36" s="7"/>
      <c r="G36" s="7"/>
      <c r="H36" s="7"/>
      <c r="I36" s="7">
        <v>1</v>
      </c>
      <c r="J36" s="7"/>
      <c r="K36" s="7">
        <v>1</v>
      </c>
      <c r="L36" s="7"/>
      <c r="M36" s="7">
        <v>1</v>
      </c>
      <c r="N36" s="7"/>
      <c r="O36" s="7"/>
      <c r="P36" s="7">
        <v>1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9" spans="1:31" ht="16.8" thickBot="1" x14ac:dyDescent="0.35"/>
    <row r="40" spans="1:31" ht="16.8" thickBot="1" x14ac:dyDescent="0.35">
      <c r="A40" s="17" t="s">
        <v>44</v>
      </c>
      <c r="B40" s="370" t="s">
        <v>121</v>
      </c>
      <c r="C40" s="371"/>
      <c r="D40" s="371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2"/>
      <c r="Q40" s="345" t="s">
        <v>88</v>
      </c>
      <c r="R40" s="346"/>
      <c r="S40" s="346"/>
      <c r="T40" s="346"/>
      <c r="U40" s="346"/>
      <c r="V40" s="346"/>
      <c r="W40" s="346"/>
      <c r="X40" s="347"/>
      <c r="Y40" s="345" t="s">
        <v>37</v>
      </c>
      <c r="Z40" s="346"/>
      <c r="AA40" s="346"/>
      <c r="AB40" s="346"/>
      <c r="AC40" s="347"/>
      <c r="AD40" s="7"/>
      <c r="AE40" s="7"/>
    </row>
    <row r="41" spans="1:31" x14ac:dyDescent="0.3">
      <c r="A41" s="365" t="s">
        <v>8</v>
      </c>
      <c r="B41" s="4">
        <f>F2</f>
        <v>1</v>
      </c>
      <c r="C41" s="5">
        <f>F3</f>
        <v>2</v>
      </c>
      <c r="D41" s="5" t="str">
        <f>F4</f>
        <v>3(1+2)</v>
      </c>
      <c r="E41" s="5">
        <f>F5</f>
        <v>4</v>
      </c>
      <c r="F41" s="5" t="str">
        <f>F6</f>
        <v>5(1+4)</v>
      </c>
      <c r="G41" s="5" t="str">
        <f>F7</f>
        <v>6(2+4)</v>
      </c>
      <c r="H41" s="5" t="str">
        <f>F8</f>
        <v>7(8+15)</v>
      </c>
      <c r="I41" s="5">
        <f>F9</f>
        <v>8</v>
      </c>
      <c r="J41" s="5" t="str">
        <f>F10</f>
        <v>9(1+8)</v>
      </c>
      <c r="K41" s="5">
        <f>F11</f>
        <v>10</v>
      </c>
      <c r="L41" s="5" t="str">
        <f>F12</f>
        <v>11(1+10)</v>
      </c>
      <c r="M41" s="5">
        <f>F13</f>
        <v>12</v>
      </c>
      <c r="N41" s="5" t="str">
        <f>F14</f>
        <v>13(1+12)</v>
      </c>
      <c r="O41" s="5" t="str">
        <f>F15</f>
        <v>14(1+15)</v>
      </c>
      <c r="P41" s="6">
        <f>F16</f>
        <v>15</v>
      </c>
      <c r="Q41" s="4" t="s">
        <v>22</v>
      </c>
      <c r="R41" s="5" t="s">
        <v>23</v>
      </c>
      <c r="S41" s="5" t="s">
        <v>24</v>
      </c>
      <c r="T41" s="5" t="s">
        <v>25</v>
      </c>
      <c r="U41" s="5" t="s">
        <v>26</v>
      </c>
      <c r="V41" s="5" t="s">
        <v>27</v>
      </c>
      <c r="W41" s="5" t="s">
        <v>28</v>
      </c>
      <c r="X41" s="6" t="s">
        <v>29</v>
      </c>
      <c r="Y41" s="4"/>
      <c r="Z41" s="5"/>
      <c r="AA41" s="5"/>
      <c r="AB41" s="5"/>
      <c r="AC41" s="6"/>
      <c r="AD41" s="7"/>
      <c r="AE41" s="7"/>
    </row>
    <row r="42" spans="1:31" ht="97.8" thickBot="1" x14ac:dyDescent="0.35">
      <c r="A42" s="336"/>
      <c r="B42" s="22" t="str">
        <f>G2</f>
        <v>傳動比</v>
      </c>
      <c r="C42" s="23" t="str">
        <f>G3</f>
        <v>齒輪單雙側傳動給輪子</v>
      </c>
      <c r="D42" s="23" t="str">
        <f>G4</f>
        <v>&lt;傳動比&gt;和&lt;齒輪單雙側傳動給輪子&gt;交互關係</v>
      </c>
      <c r="E42" s="23" t="str">
        <f>G5</f>
        <v>齒輪數量</v>
      </c>
      <c r="F42" s="23" t="str">
        <f>G6</f>
        <v>&lt;傳動比&gt;和&lt;齒輪數量&gt;交互關係</v>
      </c>
      <c r="G42" s="23" t="str">
        <f>G7</f>
        <v>&lt;齒輪單雙側傳動給輪子&gt;和&lt;齒輪數量&gt;交互關係</v>
      </c>
      <c r="H42" s="23" t="str">
        <f>G8</f>
        <v>&lt;輪子數&gt;和&lt;輪子厚度&gt;交互關係</v>
      </c>
      <c r="I42" s="23" t="str">
        <f>G9</f>
        <v>輪子數</v>
      </c>
      <c r="J42" s="23" t="str">
        <f>G10</f>
        <v>&lt;傳動比&gt;和&lt;輪子數&gt;交互關係</v>
      </c>
      <c r="K42" s="23" t="str">
        <f>G11</f>
        <v>前輪直徑</v>
      </c>
      <c r="L42" s="23" t="str">
        <f>G12</f>
        <v>&lt;傳動比&gt;和&lt;前輪直徑&gt;交互關係</v>
      </c>
      <c r="M42" s="23" t="str">
        <f>G13</f>
        <v>後輪直徑</v>
      </c>
      <c r="N42" s="23" t="str">
        <f>G14</f>
        <v>&lt;傳動比&gt;和&lt;後輪直徑&gt;交互關係</v>
      </c>
      <c r="O42" s="23" t="str">
        <f>G15</f>
        <v>&lt;傳動比&gt;和&lt;輪子厚度&gt;交互關係</v>
      </c>
      <c r="P42" s="24" t="str">
        <f>G16</f>
        <v>輪子厚度</v>
      </c>
      <c r="Q42" s="373" t="s">
        <v>31</v>
      </c>
      <c r="R42" s="374"/>
      <c r="S42" s="374" t="s">
        <v>33</v>
      </c>
      <c r="T42" s="374"/>
      <c r="U42" s="374" t="s">
        <v>34</v>
      </c>
      <c r="V42" s="374"/>
      <c r="W42" s="374" t="s">
        <v>36</v>
      </c>
      <c r="X42" s="375"/>
      <c r="Y42" s="8" t="str">
        <f>Q42</f>
        <v>負重0g</v>
      </c>
      <c r="Z42" s="13" t="str">
        <f>S42</f>
        <v>負重50g</v>
      </c>
      <c r="AA42" s="13" t="str">
        <f>U42</f>
        <v>負重100g</v>
      </c>
      <c r="AB42" s="13" t="str">
        <f>W42</f>
        <v>負重150g</v>
      </c>
      <c r="AC42" s="14" t="s">
        <v>38</v>
      </c>
      <c r="AD42" s="9" t="s">
        <v>87</v>
      </c>
      <c r="AE42" s="113"/>
    </row>
    <row r="43" spans="1:31" x14ac:dyDescent="0.3">
      <c r="A43" s="20">
        <v>1</v>
      </c>
      <c r="B43" s="4" t="str">
        <f t="shared" ref="B43:B59" si="1">IF(B20=1,H$2,I$2)</f>
        <v>1:1</v>
      </c>
      <c r="C43" s="5" t="str">
        <f t="shared" ref="C43:C59" si="2">IF(C20=1,H$3,I$3)</f>
        <v>雙</v>
      </c>
      <c r="D43" s="5">
        <f>IF(D20=1,H$4,I$4)</f>
        <v>0</v>
      </c>
      <c r="E43" s="5" t="str">
        <f t="shared" ref="E43:E59" si="3">IF(E20=1,$H$5,$I$5)</f>
        <v>3個(前驅)</v>
      </c>
      <c r="F43" s="5">
        <f t="shared" ref="F43:F59" si="4">IF(F20=1,$H$6,$I$6)</f>
        <v>0</v>
      </c>
      <c r="G43" s="5">
        <f t="shared" ref="G43:G59" si="5">IF(G20=1,$H$7,$I$7)</f>
        <v>0</v>
      </c>
      <c r="H43" s="5">
        <f t="shared" ref="H43:H59" si="6">IF(H20=1,$H$8,$I$8)</f>
        <v>0</v>
      </c>
      <c r="I43" s="5" t="str">
        <f t="shared" ref="I43:I59" si="7">IF(I20=1,$H$9,$I$9)</f>
        <v>4輪</v>
      </c>
      <c r="J43" s="5">
        <f t="shared" ref="J43:J59" si="8">IF(J20=1,$H$10,$I$10)</f>
        <v>0</v>
      </c>
      <c r="K43" s="5" t="str">
        <f t="shared" ref="K43:K59" si="9">IF(K20=1,$H$11,$I$11)</f>
        <v>大(45mm)</v>
      </c>
      <c r="L43" s="5">
        <f t="shared" ref="L43:L59" si="10">IF(L20=1,$H$12,$I$12)</f>
        <v>0</v>
      </c>
      <c r="M43" s="5" t="str">
        <f t="shared" ref="M43:M59" si="11">IF(M20=1,$H$13,$I$13)</f>
        <v>大(45mm)</v>
      </c>
      <c r="N43" s="5">
        <f t="shared" ref="N43:N59" si="12">IF(N20=1,$H$14,$I$14)</f>
        <v>0</v>
      </c>
      <c r="O43" s="5">
        <f t="shared" ref="O43:O59" si="13">IF(O20=1,$H$15,$I$15)</f>
        <v>0</v>
      </c>
      <c r="P43" s="6" t="str">
        <f t="shared" ref="P43:P59" si="14">IF(P20=1,$H$16,$I$16)</f>
        <v>單(3.5mm)</v>
      </c>
      <c r="Q43" s="4">
        <v>732</v>
      </c>
      <c r="R43" s="5">
        <v>716</v>
      </c>
      <c r="S43" s="29">
        <v>557</v>
      </c>
      <c r="T43" s="29">
        <v>596</v>
      </c>
      <c r="U43" s="29">
        <v>562.20000000000005</v>
      </c>
      <c r="V43" s="29">
        <v>500</v>
      </c>
      <c r="W43" s="29">
        <v>526.5</v>
      </c>
      <c r="X43" s="29">
        <v>490</v>
      </c>
      <c r="Y43" s="4">
        <f>AVERAGE(Q43,R43,AD43)</f>
        <v>693.33333333333337</v>
      </c>
      <c r="Z43" s="5">
        <f>AVERAGE(S43:T43)</f>
        <v>576.5</v>
      </c>
      <c r="AA43" s="5">
        <f>AVERAGE(U43:V43)</f>
        <v>531.1</v>
      </c>
      <c r="AB43" s="5">
        <f>AVERAGE(W43:X43)</f>
        <v>508.25</v>
      </c>
      <c r="AC43" s="6">
        <f>AVERAGE(Q43:X43)</f>
        <v>584.96249999999998</v>
      </c>
      <c r="AD43" s="7">
        <v>632</v>
      </c>
      <c r="AE43" s="113" t="s">
        <v>85</v>
      </c>
    </row>
    <row r="44" spans="1:31" x14ac:dyDescent="0.3">
      <c r="A44" s="18">
        <v>2</v>
      </c>
      <c r="B44" s="15" t="str">
        <f t="shared" si="1"/>
        <v>1:1</v>
      </c>
      <c r="C44" s="7" t="str">
        <f t="shared" si="2"/>
        <v>雙</v>
      </c>
      <c r="D44" s="7">
        <f t="shared" ref="D44:D59" si="15">IF(C21=1,H$4,I$4)</f>
        <v>0</v>
      </c>
      <c r="E44" s="7" t="str">
        <f t="shared" si="3"/>
        <v>3個(前驅)</v>
      </c>
      <c r="F44" s="7">
        <f t="shared" si="4"/>
        <v>0</v>
      </c>
      <c r="G44" s="7">
        <f t="shared" si="5"/>
        <v>0</v>
      </c>
      <c r="H44" s="7">
        <f t="shared" si="6"/>
        <v>0</v>
      </c>
      <c r="I44" s="7" t="str">
        <f t="shared" si="7"/>
        <v>3輪</v>
      </c>
      <c r="J44" s="7">
        <f t="shared" si="8"/>
        <v>0</v>
      </c>
      <c r="K44" s="7" t="str">
        <f t="shared" si="9"/>
        <v>小(35mm)</v>
      </c>
      <c r="L44" s="7">
        <f t="shared" si="10"/>
        <v>0</v>
      </c>
      <c r="M44" s="7" t="str">
        <f t="shared" si="11"/>
        <v>小(35mm)</v>
      </c>
      <c r="N44" s="7">
        <f t="shared" si="12"/>
        <v>0</v>
      </c>
      <c r="O44" s="7">
        <f t="shared" si="13"/>
        <v>0</v>
      </c>
      <c r="P44" s="16" t="str">
        <f t="shared" si="14"/>
        <v>雙(7mm)</v>
      </c>
      <c r="Q44" s="15">
        <v>499</v>
      </c>
      <c r="R44" s="7">
        <v>536.5</v>
      </c>
      <c r="S44" s="31">
        <v>540</v>
      </c>
      <c r="T44" s="31">
        <v>499</v>
      </c>
      <c r="U44" s="31">
        <v>481.5</v>
      </c>
      <c r="V44" s="31">
        <v>489</v>
      </c>
      <c r="W44" s="31">
        <v>343</v>
      </c>
      <c r="X44" s="31">
        <v>417</v>
      </c>
      <c r="Y44" s="15">
        <f t="shared" ref="Y44:Y58" si="16">AVERAGE(Q44,R44,AD44)</f>
        <v>514</v>
      </c>
      <c r="Z44" s="7">
        <f t="shared" ref="Z44:Z58" si="17">AVERAGE(S44:T44)</f>
        <v>519.5</v>
      </c>
      <c r="AA44" s="7">
        <f t="shared" ref="AA44:AA58" si="18">AVERAGE(U44:V44)</f>
        <v>485.25</v>
      </c>
      <c r="AB44" s="7">
        <f t="shared" ref="AB44:AB58" si="19">AVERAGE(W44:X44)</f>
        <v>380</v>
      </c>
      <c r="AC44" s="16">
        <f t="shared" ref="AC44:AC58" si="20">AVERAGE(Q44:X44)</f>
        <v>475.625</v>
      </c>
      <c r="AD44" s="7">
        <v>506.5</v>
      </c>
      <c r="AE44" s="113"/>
    </row>
    <row r="45" spans="1:31" x14ac:dyDescent="0.3">
      <c r="A45" s="18">
        <v>3</v>
      </c>
      <c r="B45" s="15" t="str">
        <f t="shared" si="1"/>
        <v>1:1</v>
      </c>
      <c r="C45" s="7" t="str">
        <f t="shared" si="2"/>
        <v>雙</v>
      </c>
      <c r="D45" s="7">
        <f t="shared" si="15"/>
        <v>0</v>
      </c>
      <c r="E45" s="7" t="str">
        <f t="shared" si="3"/>
        <v>2個(後驅)</v>
      </c>
      <c r="F45" s="7">
        <f t="shared" si="4"/>
        <v>0</v>
      </c>
      <c r="G45" s="7">
        <f t="shared" si="5"/>
        <v>0</v>
      </c>
      <c r="H45" s="7">
        <f t="shared" si="6"/>
        <v>0</v>
      </c>
      <c r="I45" s="7" t="str">
        <f t="shared" si="7"/>
        <v>4輪</v>
      </c>
      <c r="J45" s="7">
        <f t="shared" si="8"/>
        <v>0</v>
      </c>
      <c r="K45" s="7" t="str">
        <f t="shared" si="9"/>
        <v>大(45mm)</v>
      </c>
      <c r="L45" s="7">
        <f t="shared" si="10"/>
        <v>0</v>
      </c>
      <c r="M45" s="7" t="str">
        <f t="shared" si="11"/>
        <v>小(35mm)</v>
      </c>
      <c r="N45" s="7">
        <f t="shared" si="12"/>
        <v>0</v>
      </c>
      <c r="O45" s="7">
        <f t="shared" si="13"/>
        <v>0</v>
      </c>
      <c r="P45" s="16" t="str">
        <f t="shared" si="14"/>
        <v>雙(7mm)</v>
      </c>
      <c r="Q45" s="15">
        <v>562</v>
      </c>
      <c r="R45" s="7">
        <v>563.5</v>
      </c>
      <c r="S45" s="32">
        <v>458</v>
      </c>
      <c r="T45" s="32">
        <v>458.5</v>
      </c>
      <c r="U45" s="32">
        <v>531</v>
      </c>
      <c r="V45" s="32">
        <v>484</v>
      </c>
      <c r="W45" s="32">
        <v>495</v>
      </c>
      <c r="X45" s="31">
        <v>430</v>
      </c>
      <c r="Y45" s="15">
        <f t="shared" si="16"/>
        <v>542.5</v>
      </c>
      <c r="Z45" s="7">
        <f t="shared" si="17"/>
        <v>458.25</v>
      </c>
      <c r="AA45" s="7">
        <f t="shared" si="18"/>
        <v>507.5</v>
      </c>
      <c r="AB45" s="7">
        <f t="shared" si="19"/>
        <v>462.5</v>
      </c>
      <c r="AC45" s="16">
        <f t="shared" si="20"/>
        <v>497.75</v>
      </c>
      <c r="AD45" s="7">
        <v>502</v>
      </c>
      <c r="AE45" s="113"/>
    </row>
    <row r="46" spans="1:31" x14ac:dyDescent="0.3">
      <c r="A46" s="18">
        <v>4</v>
      </c>
      <c r="B46" s="15" t="str">
        <f t="shared" si="1"/>
        <v>1:1</v>
      </c>
      <c r="C46" s="7" t="str">
        <f t="shared" si="2"/>
        <v>雙</v>
      </c>
      <c r="D46" s="7">
        <f t="shared" si="15"/>
        <v>0</v>
      </c>
      <c r="E46" s="7" t="str">
        <f t="shared" si="3"/>
        <v>2個(後驅)</v>
      </c>
      <c r="F46" s="7">
        <f t="shared" si="4"/>
        <v>0</v>
      </c>
      <c r="G46" s="7">
        <f t="shared" si="5"/>
        <v>0</v>
      </c>
      <c r="H46" s="7">
        <f t="shared" si="6"/>
        <v>0</v>
      </c>
      <c r="I46" s="7" t="str">
        <f t="shared" si="7"/>
        <v>3輪</v>
      </c>
      <c r="J46" s="7">
        <f t="shared" si="8"/>
        <v>0</v>
      </c>
      <c r="K46" s="7" t="str">
        <f t="shared" si="9"/>
        <v>小(35mm)</v>
      </c>
      <c r="L46" s="7">
        <f t="shared" si="10"/>
        <v>0</v>
      </c>
      <c r="M46" s="7" t="str">
        <f t="shared" si="11"/>
        <v>大(45mm)</v>
      </c>
      <c r="N46" s="7">
        <f t="shared" si="12"/>
        <v>0</v>
      </c>
      <c r="O46" s="7">
        <f t="shared" si="13"/>
        <v>0</v>
      </c>
      <c r="P46" s="16" t="str">
        <f t="shared" si="14"/>
        <v>單(3.5mm)</v>
      </c>
      <c r="Q46" s="15">
        <v>756</v>
      </c>
      <c r="R46" s="7">
        <v>668</v>
      </c>
      <c r="S46" s="31">
        <v>565</v>
      </c>
      <c r="T46" s="31">
        <v>572</v>
      </c>
      <c r="U46" s="31">
        <v>508</v>
      </c>
      <c r="V46" s="31">
        <v>503.5</v>
      </c>
      <c r="W46" s="31">
        <v>489</v>
      </c>
      <c r="X46" s="31">
        <v>387</v>
      </c>
      <c r="Y46" s="15">
        <f t="shared" si="16"/>
        <v>708.83333333333337</v>
      </c>
      <c r="Z46" s="7">
        <f t="shared" si="17"/>
        <v>568.5</v>
      </c>
      <c r="AA46" s="7">
        <f t="shared" si="18"/>
        <v>505.75</v>
      </c>
      <c r="AB46" s="7">
        <f t="shared" si="19"/>
        <v>438</v>
      </c>
      <c r="AC46" s="16">
        <f t="shared" si="20"/>
        <v>556.0625</v>
      </c>
      <c r="AD46" s="7">
        <v>702.5</v>
      </c>
      <c r="AE46" s="113"/>
    </row>
    <row r="47" spans="1:31" x14ac:dyDescent="0.3">
      <c r="A47" s="18">
        <v>5</v>
      </c>
      <c r="B47" s="15" t="str">
        <f t="shared" si="1"/>
        <v>1:1</v>
      </c>
      <c r="C47" s="7" t="str">
        <f t="shared" si="2"/>
        <v>單</v>
      </c>
      <c r="D47" s="7">
        <f t="shared" si="15"/>
        <v>0</v>
      </c>
      <c r="E47" s="7" t="str">
        <f t="shared" si="3"/>
        <v>3個(前驅)</v>
      </c>
      <c r="F47" s="7">
        <f t="shared" si="4"/>
        <v>0</v>
      </c>
      <c r="G47" s="7">
        <f t="shared" si="5"/>
        <v>0</v>
      </c>
      <c r="H47" s="7">
        <f t="shared" si="6"/>
        <v>0</v>
      </c>
      <c r="I47" s="7" t="str">
        <f t="shared" si="7"/>
        <v>4輪</v>
      </c>
      <c r="J47" s="7">
        <f t="shared" si="8"/>
        <v>0</v>
      </c>
      <c r="K47" s="7" t="str">
        <f t="shared" si="9"/>
        <v>小(35mm)</v>
      </c>
      <c r="L47" s="7">
        <f t="shared" si="10"/>
        <v>0</v>
      </c>
      <c r="M47" s="7" t="str">
        <f t="shared" si="11"/>
        <v>大(45mm)</v>
      </c>
      <c r="N47" s="7">
        <f t="shared" si="12"/>
        <v>0</v>
      </c>
      <c r="O47" s="7">
        <f t="shared" si="13"/>
        <v>0</v>
      </c>
      <c r="P47" s="16" t="str">
        <f t="shared" si="14"/>
        <v>雙(7mm)</v>
      </c>
      <c r="Q47" s="15">
        <v>627</v>
      </c>
      <c r="R47" s="7">
        <v>586</v>
      </c>
      <c r="S47" s="32">
        <v>487</v>
      </c>
      <c r="T47" s="32">
        <v>531</v>
      </c>
      <c r="U47" s="32">
        <v>463</v>
      </c>
      <c r="V47" s="31">
        <v>431</v>
      </c>
      <c r="W47" s="31">
        <v>382</v>
      </c>
      <c r="X47" s="31">
        <v>391</v>
      </c>
      <c r="Y47" s="15">
        <f t="shared" si="16"/>
        <v>604.33333333333337</v>
      </c>
      <c r="Z47" s="7">
        <f>AVERAGE(S47:T47)</f>
        <v>509</v>
      </c>
      <c r="AA47" s="7">
        <f t="shared" si="18"/>
        <v>447</v>
      </c>
      <c r="AB47" s="7">
        <f t="shared" si="19"/>
        <v>386.5</v>
      </c>
      <c r="AC47" s="16">
        <f t="shared" si="20"/>
        <v>487.25</v>
      </c>
      <c r="AD47" s="7">
        <v>600</v>
      </c>
      <c r="AE47" s="113"/>
    </row>
    <row r="48" spans="1:31" x14ac:dyDescent="0.3">
      <c r="A48" s="18">
        <v>6</v>
      </c>
      <c r="B48" s="15" t="str">
        <f t="shared" si="1"/>
        <v>1:1</v>
      </c>
      <c r="C48" s="7" t="str">
        <f t="shared" si="2"/>
        <v>單</v>
      </c>
      <c r="D48" s="7">
        <f t="shared" si="15"/>
        <v>0</v>
      </c>
      <c r="E48" s="7" t="str">
        <f t="shared" si="3"/>
        <v>3個(前驅)</v>
      </c>
      <c r="F48" s="7">
        <f t="shared" si="4"/>
        <v>0</v>
      </c>
      <c r="G48" s="7">
        <f t="shared" si="5"/>
        <v>0</v>
      </c>
      <c r="H48" s="7">
        <f t="shared" si="6"/>
        <v>0</v>
      </c>
      <c r="I48" s="7" t="str">
        <f t="shared" si="7"/>
        <v>3輪</v>
      </c>
      <c r="J48" s="7">
        <f t="shared" si="8"/>
        <v>0</v>
      </c>
      <c r="K48" s="7" t="str">
        <f t="shared" si="9"/>
        <v>大(45mm)</v>
      </c>
      <c r="L48" s="7">
        <f t="shared" si="10"/>
        <v>0</v>
      </c>
      <c r="M48" s="7" t="str">
        <f t="shared" si="11"/>
        <v>小(35mm)</v>
      </c>
      <c r="N48" s="7">
        <f t="shared" si="12"/>
        <v>0</v>
      </c>
      <c r="O48" s="7">
        <f t="shared" si="13"/>
        <v>0</v>
      </c>
      <c r="P48" s="16" t="str">
        <f t="shared" si="14"/>
        <v>單(3.5mm)</v>
      </c>
      <c r="Q48" s="15">
        <v>756</v>
      </c>
      <c r="R48" s="7">
        <v>728</v>
      </c>
      <c r="S48" s="7">
        <v>625</v>
      </c>
      <c r="T48" s="7">
        <v>723</v>
      </c>
      <c r="U48" s="7">
        <v>570.5</v>
      </c>
      <c r="V48" s="31">
        <v>583</v>
      </c>
      <c r="W48" s="31">
        <v>505</v>
      </c>
      <c r="X48" s="31">
        <v>503</v>
      </c>
      <c r="Y48" s="15">
        <f t="shared" si="16"/>
        <v>734.66666666666663</v>
      </c>
      <c r="Z48" s="7">
        <f t="shared" si="17"/>
        <v>674</v>
      </c>
      <c r="AA48" s="7">
        <f t="shared" si="18"/>
        <v>576.75</v>
      </c>
      <c r="AB48" s="7">
        <f t="shared" si="19"/>
        <v>504</v>
      </c>
      <c r="AC48" s="16">
        <f t="shared" si="20"/>
        <v>624.1875</v>
      </c>
      <c r="AD48" s="7">
        <v>720</v>
      </c>
      <c r="AE48" s="113" t="s">
        <v>84</v>
      </c>
    </row>
    <row r="49" spans="1:31" x14ac:dyDescent="0.3">
      <c r="A49" s="18">
        <v>7</v>
      </c>
      <c r="B49" s="15" t="str">
        <f t="shared" si="1"/>
        <v>1:1</v>
      </c>
      <c r="C49" s="7" t="str">
        <f t="shared" si="2"/>
        <v>單</v>
      </c>
      <c r="D49" s="7">
        <f t="shared" si="15"/>
        <v>0</v>
      </c>
      <c r="E49" s="7" t="str">
        <f t="shared" si="3"/>
        <v>2個(後驅)</v>
      </c>
      <c r="F49" s="7">
        <f t="shared" si="4"/>
        <v>0</v>
      </c>
      <c r="G49" s="7">
        <f t="shared" si="5"/>
        <v>0</v>
      </c>
      <c r="H49" s="7">
        <f t="shared" si="6"/>
        <v>0</v>
      </c>
      <c r="I49" s="7" t="str">
        <f t="shared" si="7"/>
        <v>4輪</v>
      </c>
      <c r="J49" s="7">
        <f t="shared" si="8"/>
        <v>0</v>
      </c>
      <c r="K49" s="7" t="str">
        <f t="shared" si="9"/>
        <v>小(35mm)</v>
      </c>
      <c r="L49" s="7">
        <f t="shared" si="10"/>
        <v>0</v>
      </c>
      <c r="M49" s="7" t="str">
        <f t="shared" si="11"/>
        <v>小(35mm)</v>
      </c>
      <c r="N49" s="7">
        <f t="shared" si="12"/>
        <v>0</v>
      </c>
      <c r="O49" s="7">
        <f t="shared" si="13"/>
        <v>0</v>
      </c>
      <c r="P49" s="16" t="str">
        <f t="shared" si="14"/>
        <v>單(3.5mm)</v>
      </c>
      <c r="Q49" s="15">
        <v>591</v>
      </c>
      <c r="R49" s="32">
        <v>599.5</v>
      </c>
      <c r="S49" s="32">
        <v>529</v>
      </c>
      <c r="T49" s="32">
        <v>495</v>
      </c>
      <c r="U49" s="32">
        <v>523</v>
      </c>
      <c r="V49" s="31">
        <v>501</v>
      </c>
      <c r="W49" s="31">
        <v>456.5</v>
      </c>
      <c r="X49" s="31">
        <v>491</v>
      </c>
      <c r="Y49" s="15">
        <f t="shared" si="16"/>
        <v>591.16666666666663</v>
      </c>
      <c r="Z49" s="7">
        <f t="shared" si="17"/>
        <v>512</v>
      </c>
      <c r="AA49" s="7">
        <f t="shared" si="18"/>
        <v>512</v>
      </c>
      <c r="AB49" s="7">
        <f t="shared" si="19"/>
        <v>473.75</v>
      </c>
      <c r="AC49" s="16">
        <f t="shared" si="20"/>
        <v>523.25</v>
      </c>
      <c r="AD49" s="7">
        <v>583</v>
      </c>
      <c r="AE49" s="113"/>
    </row>
    <row r="50" spans="1:31" x14ac:dyDescent="0.3">
      <c r="A50" s="18">
        <v>8</v>
      </c>
      <c r="B50" s="15" t="str">
        <f t="shared" si="1"/>
        <v>1:1</v>
      </c>
      <c r="C50" s="7" t="str">
        <f t="shared" si="2"/>
        <v>單</v>
      </c>
      <c r="D50" s="7">
        <f t="shared" si="15"/>
        <v>0</v>
      </c>
      <c r="E50" s="7" t="str">
        <f t="shared" si="3"/>
        <v>2個(後驅)</v>
      </c>
      <c r="F50" s="7">
        <f t="shared" si="4"/>
        <v>0</v>
      </c>
      <c r="G50" s="7">
        <f t="shared" si="5"/>
        <v>0</v>
      </c>
      <c r="H50" s="7">
        <f t="shared" si="6"/>
        <v>0</v>
      </c>
      <c r="I50" s="7" t="str">
        <f t="shared" si="7"/>
        <v>3輪</v>
      </c>
      <c r="J50" s="7">
        <f t="shared" si="8"/>
        <v>0</v>
      </c>
      <c r="K50" s="7" t="str">
        <f t="shared" si="9"/>
        <v>大(45mm)</v>
      </c>
      <c r="L50" s="7">
        <f t="shared" si="10"/>
        <v>0</v>
      </c>
      <c r="M50" s="7" t="str">
        <f t="shared" si="11"/>
        <v>大(45mm)</v>
      </c>
      <c r="N50" s="7">
        <f t="shared" si="12"/>
        <v>0</v>
      </c>
      <c r="O50" s="7">
        <f t="shared" si="13"/>
        <v>0</v>
      </c>
      <c r="P50" s="16" t="str">
        <f t="shared" si="14"/>
        <v>雙(7mm)</v>
      </c>
      <c r="Q50" s="33">
        <v>762</v>
      </c>
      <c r="R50" s="7">
        <v>772</v>
      </c>
      <c r="S50" s="32">
        <v>634</v>
      </c>
      <c r="T50" s="32">
        <v>632</v>
      </c>
      <c r="U50" s="31">
        <v>577</v>
      </c>
      <c r="V50" s="31">
        <v>577.5</v>
      </c>
      <c r="W50" s="31">
        <v>511.5</v>
      </c>
      <c r="X50" s="31">
        <v>552.5</v>
      </c>
      <c r="Y50" s="15">
        <f t="shared" si="16"/>
        <v>759</v>
      </c>
      <c r="Z50" s="7">
        <f t="shared" si="17"/>
        <v>633</v>
      </c>
      <c r="AA50" s="7">
        <f t="shared" si="18"/>
        <v>577.25</v>
      </c>
      <c r="AB50" s="7">
        <f t="shared" si="19"/>
        <v>532</v>
      </c>
      <c r="AC50" s="16">
        <f t="shared" si="20"/>
        <v>627.3125</v>
      </c>
      <c r="AD50" s="7">
        <v>743</v>
      </c>
      <c r="AE50" s="113"/>
    </row>
    <row r="51" spans="1:31" x14ac:dyDescent="0.3">
      <c r="A51" s="18">
        <v>9</v>
      </c>
      <c r="B51" s="15" t="str">
        <f t="shared" si="1"/>
        <v>1:2</v>
      </c>
      <c r="C51" s="7" t="str">
        <f t="shared" si="2"/>
        <v>雙</v>
      </c>
      <c r="D51" s="7">
        <f t="shared" si="15"/>
        <v>0</v>
      </c>
      <c r="E51" s="7" t="str">
        <f t="shared" si="3"/>
        <v>3個(前驅)</v>
      </c>
      <c r="F51" s="7">
        <f t="shared" si="4"/>
        <v>0</v>
      </c>
      <c r="G51" s="7">
        <f t="shared" si="5"/>
        <v>0</v>
      </c>
      <c r="H51" s="7">
        <f t="shared" si="6"/>
        <v>0</v>
      </c>
      <c r="I51" s="7" t="str">
        <f t="shared" si="7"/>
        <v>4輪</v>
      </c>
      <c r="J51" s="7">
        <f t="shared" si="8"/>
        <v>0</v>
      </c>
      <c r="K51" s="7" t="str">
        <f t="shared" si="9"/>
        <v>大(45mm)</v>
      </c>
      <c r="L51" s="7">
        <f t="shared" si="10"/>
        <v>0</v>
      </c>
      <c r="M51" s="7" t="str">
        <f t="shared" si="11"/>
        <v>大(45mm)</v>
      </c>
      <c r="N51" s="7">
        <f t="shared" si="12"/>
        <v>0</v>
      </c>
      <c r="O51" s="7">
        <f t="shared" si="13"/>
        <v>0</v>
      </c>
      <c r="P51" s="16" t="str">
        <f t="shared" si="14"/>
        <v>雙(7mm)</v>
      </c>
      <c r="Q51" s="30">
        <v>773</v>
      </c>
      <c r="R51" s="31">
        <v>834</v>
      </c>
      <c r="S51" s="31">
        <v>675</v>
      </c>
      <c r="T51" s="31">
        <v>641</v>
      </c>
      <c r="U51" s="31">
        <v>611</v>
      </c>
      <c r="V51" s="31">
        <v>520</v>
      </c>
      <c r="W51" s="31">
        <v>514</v>
      </c>
      <c r="X51" s="31">
        <v>486</v>
      </c>
      <c r="Y51" s="15">
        <f t="shared" si="16"/>
        <v>821.66666666666663</v>
      </c>
      <c r="Z51" s="7">
        <f t="shared" si="17"/>
        <v>658</v>
      </c>
      <c r="AA51" s="7">
        <f t="shared" si="18"/>
        <v>565.5</v>
      </c>
      <c r="AB51" s="7">
        <f t="shared" si="19"/>
        <v>500</v>
      </c>
      <c r="AC51" s="16">
        <f t="shared" si="20"/>
        <v>631.75</v>
      </c>
      <c r="AD51" s="31">
        <v>858</v>
      </c>
      <c r="AE51" s="113"/>
    </row>
    <row r="52" spans="1:31" x14ac:dyDescent="0.3">
      <c r="A52" s="18">
        <v>10</v>
      </c>
      <c r="B52" s="15" t="str">
        <f t="shared" si="1"/>
        <v>1:2</v>
      </c>
      <c r="C52" s="7" t="str">
        <f t="shared" si="2"/>
        <v>雙</v>
      </c>
      <c r="D52" s="7">
        <f t="shared" si="15"/>
        <v>0</v>
      </c>
      <c r="E52" s="7" t="str">
        <f t="shared" si="3"/>
        <v>3個(前驅)</v>
      </c>
      <c r="F52" s="7">
        <f t="shared" si="4"/>
        <v>0</v>
      </c>
      <c r="G52" s="7">
        <f t="shared" si="5"/>
        <v>0</v>
      </c>
      <c r="H52" s="7">
        <f t="shared" si="6"/>
        <v>0</v>
      </c>
      <c r="I52" s="7" t="str">
        <f t="shared" si="7"/>
        <v>3輪</v>
      </c>
      <c r="J52" s="7">
        <f t="shared" si="8"/>
        <v>0</v>
      </c>
      <c r="K52" s="7" t="str">
        <f t="shared" si="9"/>
        <v>小(35mm)</v>
      </c>
      <c r="L52" s="7">
        <f t="shared" si="10"/>
        <v>0</v>
      </c>
      <c r="M52" s="7" t="str">
        <f t="shared" si="11"/>
        <v>小(35mm)</v>
      </c>
      <c r="N52" s="7">
        <f t="shared" si="12"/>
        <v>0</v>
      </c>
      <c r="O52" s="7">
        <f t="shared" si="13"/>
        <v>0</v>
      </c>
      <c r="P52" s="16" t="str">
        <f t="shared" si="14"/>
        <v>單(3.5mm)</v>
      </c>
      <c r="Q52" s="15">
        <v>1088</v>
      </c>
      <c r="R52" s="7">
        <v>983</v>
      </c>
      <c r="S52" s="7">
        <v>967</v>
      </c>
      <c r="T52" s="7">
        <v>943.5</v>
      </c>
      <c r="U52" s="31">
        <v>578</v>
      </c>
      <c r="V52" s="31">
        <v>572</v>
      </c>
      <c r="W52" s="31">
        <v>328</v>
      </c>
      <c r="X52" s="31">
        <v>348.5</v>
      </c>
      <c r="Y52" s="15">
        <f t="shared" si="16"/>
        <v>1027</v>
      </c>
      <c r="Z52" s="7">
        <f t="shared" si="17"/>
        <v>955.25</v>
      </c>
      <c r="AA52" s="7">
        <f t="shared" si="18"/>
        <v>575</v>
      </c>
      <c r="AB52" s="7">
        <f t="shared" si="19"/>
        <v>338.25</v>
      </c>
      <c r="AC52" s="16">
        <f t="shared" si="20"/>
        <v>726</v>
      </c>
      <c r="AD52" s="7">
        <v>1010</v>
      </c>
      <c r="AE52" s="113" t="s">
        <v>86</v>
      </c>
    </row>
    <row r="53" spans="1:31" x14ac:dyDescent="0.3">
      <c r="A53" s="18">
        <v>11</v>
      </c>
      <c r="B53" s="15" t="str">
        <f t="shared" si="1"/>
        <v>1:2</v>
      </c>
      <c r="C53" s="7" t="str">
        <f t="shared" si="2"/>
        <v>雙</v>
      </c>
      <c r="D53" s="7">
        <f t="shared" si="15"/>
        <v>0</v>
      </c>
      <c r="E53" s="7" t="str">
        <f t="shared" si="3"/>
        <v>2個(後驅)</v>
      </c>
      <c r="F53" s="7">
        <f t="shared" si="4"/>
        <v>0</v>
      </c>
      <c r="G53" s="7">
        <f t="shared" si="5"/>
        <v>0</v>
      </c>
      <c r="H53" s="7">
        <f t="shared" si="6"/>
        <v>0</v>
      </c>
      <c r="I53" s="7" t="str">
        <f t="shared" si="7"/>
        <v>4輪</v>
      </c>
      <c r="J53" s="7">
        <f t="shared" si="8"/>
        <v>0</v>
      </c>
      <c r="K53" s="7" t="str">
        <f t="shared" si="9"/>
        <v>大(45mm)</v>
      </c>
      <c r="L53" s="7">
        <f t="shared" si="10"/>
        <v>0</v>
      </c>
      <c r="M53" s="7" t="str">
        <f t="shared" si="11"/>
        <v>小(35mm)</v>
      </c>
      <c r="N53" s="7">
        <f t="shared" si="12"/>
        <v>0</v>
      </c>
      <c r="O53" s="7">
        <f t="shared" si="13"/>
        <v>0</v>
      </c>
      <c r="P53" s="16" t="str">
        <f t="shared" si="14"/>
        <v>單(3.5mm)</v>
      </c>
      <c r="Q53" s="15">
        <v>1006</v>
      </c>
      <c r="R53" s="7">
        <v>1124</v>
      </c>
      <c r="S53" s="7">
        <v>1005</v>
      </c>
      <c r="T53" s="7">
        <v>991</v>
      </c>
      <c r="U53" s="31">
        <v>810</v>
      </c>
      <c r="V53" s="31">
        <v>623</v>
      </c>
      <c r="W53" s="31">
        <v>596.5</v>
      </c>
      <c r="X53" s="31">
        <v>618</v>
      </c>
      <c r="Y53" s="15">
        <f t="shared" si="16"/>
        <v>1087.3333333333333</v>
      </c>
      <c r="Z53" s="7">
        <f t="shared" si="17"/>
        <v>998</v>
      </c>
      <c r="AA53" s="7">
        <f t="shared" si="18"/>
        <v>716.5</v>
      </c>
      <c r="AB53" s="7">
        <f t="shared" si="19"/>
        <v>607.25</v>
      </c>
      <c r="AC53" s="16">
        <f t="shared" si="20"/>
        <v>846.6875</v>
      </c>
      <c r="AD53" s="7">
        <v>1132</v>
      </c>
      <c r="AE53" s="113"/>
    </row>
    <row r="54" spans="1:31" x14ac:dyDescent="0.3">
      <c r="A54" s="18">
        <v>12</v>
      </c>
      <c r="B54" s="15" t="str">
        <f t="shared" si="1"/>
        <v>1:2</v>
      </c>
      <c r="C54" s="7" t="str">
        <f t="shared" si="2"/>
        <v>雙</v>
      </c>
      <c r="D54" s="7">
        <f t="shared" si="15"/>
        <v>0</v>
      </c>
      <c r="E54" s="7" t="str">
        <f t="shared" si="3"/>
        <v>2個(後驅)</v>
      </c>
      <c r="F54" s="7">
        <f t="shared" si="4"/>
        <v>0</v>
      </c>
      <c r="G54" s="7">
        <f t="shared" si="5"/>
        <v>0</v>
      </c>
      <c r="H54" s="7">
        <f t="shared" si="6"/>
        <v>0</v>
      </c>
      <c r="I54" s="7" t="str">
        <f t="shared" si="7"/>
        <v>3輪</v>
      </c>
      <c r="J54" s="7">
        <f t="shared" si="8"/>
        <v>0</v>
      </c>
      <c r="K54" s="7" t="str">
        <f t="shared" si="9"/>
        <v>小(35mm)</v>
      </c>
      <c r="L54" s="7">
        <f t="shared" si="10"/>
        <v>0</v>
      </c>
      <c r="M54" s="7" t="str">
        <f t="shared" si="11"/>
        <v>大(45mm)</v>
      </c>
      <c r="N54" s="7">
        <f t="shared" si="12"/>
        <v>0</v>
      </c>
      <c r="O54" s="7">
        <f t="shared" si="13"/>
        <v>0</v>
      </c>
      <c r="P54" s="16" t="str">
        <f t="shared" si="14"/>
        <v>雙(7mm)</v>
      </c>
      <c r="Q54" s="15">
        <v>1337</v>
      </c>
      <c r="R54" s="7">
        <v>1295</v>
      </c>
      <c r="S54" s="31">
        <v>497</v>
      </c>
      <c r="T54" s="31">
        <v>528</v>
      </c>
      <c r="U54" s="31">
        <v>475</v>
      </c>
      <c r="V54" s="31">
        <v>467</v>
      </c>
      <c r="W54" s="31">
        <v>454</v>
      </c>
      <c r="X54" s="31">
        <v>469</v>
      </c>
      <c r="Y54" s="15">
        <f t="shared" si="16"/>
        <v>1207</v>
      </c>
      <c r="Z54" s="7">
        <f t="shared" si="17"/>
        <v>512.5</v>
      </c>
      <c r="AA54" s="7">
        <f t="shared" si="18"/>
        <v>471</v>
      </c>
      <c r="AB54" s="7">
        <f t="shared" si="19"/>
        <v>461.5</v>
      </c>
      <c r="AC54" s="16">
        <f t="shared" si="20"/>
        <v>690.25</v>
      </c>
      <c r="AD54" s="31">
        <v>989</v>
      </c>
      <c r="AE54" s="113"/>
    </row>
    <row r="55" spans="1:31" x14ac:dyDescent="0.3">
      <c r="A55" s="18">
        <v>13</v>
      </c>
      <c r="B55" s="15" t="str">
        <f t="shared" si="1"/>
        <v>1:2</v>
      </c>
      <c r="C55" s="7" t="str">
        <f t="shared" si="2"/>
        <v>單</v>
      </c>
      <c r="D55" s="7">
        <f t="shared" si="15"/>
        <v>0</v>
      </c>
      <c r="E55" s="7" t="str">
        <f t="shared" si="3"/>
        <v>3個(前驅)</v>
      </c>
      <c r="F55" s="7">
        <f t="shared" si="4"/>
        <v>0</v>
      </c>
      <c r="G55" s="7">
        <f t="shared" si="5"/>
        <v>0</v>
      </c>
      <c r="H55" s="7">
        <f t="shared" si="6"/>
        <v>0</v>
      </c>
      <c r="I55" s="7" t="str">
        <f t="shared" si="7"/>
        <v>4輪</v>
      </c>
      <c r="J55" s="7">
        <f t="shared" si="8"/>
        <v>0</v>
      </c>
      <c r="K55" s="7" t="str">
        <f t="shared" si="9"/>
        <v>小(35mm)</v>
      </c>
      <c r="L55" s="7">
        <f t="shared" si="10"/>
        <v>0</v>
      </c>
      <c r="M55" s="7" t="str">
        <f t="shared" si="11"/>
        <v>大(45mm)</v>
      </c>
      <c r="N55" s="7">
        <f t="shared" si="12"/>
        <v>0</v>
      </c>
      <c r="O55" s="7">
        <f t="shared" si="13"/>
        <v>0</v>
      </c>
      <c r="P55" s="16" t="str">
        <f t="shared" si="14"/>
        <v>單(3.5mm)</v>
      </c>
      <c r="Q55" s="30">
        <v>763</v>
      </c>
      <c r="R55" s="31">
        <v>817</v>
      </c>
      <c r="S55" s="31">
        <v>594.5</v>
      </c>
      <c r="T55" s="31">
        <v>622</v>
      </c>
      <c r="U55" s="31">
        <v>549</v>
      </c>
      <c r="V55" s="31">
        <v>553</v>
      </c>
      <c r="W55" s="31">
        <v>480</v>
      </c>
      <c r="X55" s="31">
        <v>520</v>
      </c>
      <c r="Y55" s="15">
        <f t="shared" si="16"/>
        <v>790</v>
      </c>
      <c r="Z55" s="7">
        <f t="shared" si="17"/>
        <v>608.25</v>
      </c>
      <c r="AA55" s="7">
        <f t="shared" si="18"/>
        <v>551</v>
      </c>
      <c r="AB55" s="7">
        <f t="shared" si="19"/>
        <v>500</v>
      </c>
      <c r="AC55" s="16">
        <f t="shared" si="20"/>
        <v>612.3125</v>
      </c>
      <c r="AD55" s="31">
        <v>790</v>
      </c>
      <c r="AE55" s="113" t="s">
        <v>84</v>
      </c>
    </row>
    <row r="56" spans="1:31" x14ac:dyDescent="0.3">
      <c r="A56" s="18">
        <v>14</v>
      </c>
      <c r="B56" s="15" t="str">
        <f t="shared" si="1"/>
        <v>1:2</v>
      </c>
      <c r="C56" s="7" t="str">
        <f t="shared" si="2"/>
        <v>單</v>
      </c>
      <c r="D56" s="7">
        <f t="shared" si="15"/>
        <v>0</v>
      </c>
      <c r="E56" s="7" t="str">
        <f t="shared" si="3"/>
        <v>3個(前驅)</v>
      </c>
      <c r="F56" s="7">
        <f t="shared" si="4"/>
        <v>0</v>
      </c>
      <c r="G56" s="7">
        <f t="shared" si="5"/>
        <v>0</v>
      </c>
      <c r="H56" s="7">
        <f t="shared" si="6"/>
        <v>0</v>
      </c>
      <c r="I56" s="7" t="str">
        <f t="shared" si="7"/>
        <v>3輪</v>
      </c>
      <c r="J56" s="7">
        <f t="shared" si="8"/>
        <v>0</v>
      </c>
      <c r="K56" s="7" t="str">
        <f t="shared" si="9"/>
        <v>大(45mm)</v>
      </c>
      <c r="L56" s="7">
        <f t="shared" si="10"/>
        <v>0</v>
      </c>
      <c r="M56" s="7" t="str">
        <f t="shared" si="11"/>
        <v>小(35mm)</v>
      </c>
      <c r="N56" s="7">
        <f t="shared" si="12"/>
        <v>0</v>
      </c>
      <c r="O56" s="7">
        <f t="shared" si="13"/>
        <v>0</v>
      </c>
      <c r="P56" s="16" t="str">
        <f t="shared" si="14"/>
        <v>雙(7mm)</v>
      </c>
      <c r="Q56" s="30">
        <v>825</v>
      </c>
      <c r="R56" s="31">
        <v>908</v>
      </c>
      <c r="S56" s="32">
        <v>1088</v>
      </c>
      <c r="T56" s="7">
        <v>1086</v>
      </c>
      <c r="U56" s="31">
        <v>614</v>
      </c>
      <c r="V56" s="31">
        <v>369</v>
      </c>
      <c r="W56" s="31">
        <v>325</v>
      </c>
      <c r="X56" s="31">
        <v>340</v>
      </c>
      <c r="Y56" s="15">
        <f t="shared" si="16"/>
        <v>979</v>
      </c>
      <c r="Z56" s="7">
        <f t="shared" si="17"/>
        <v>1087</v>
      </c>
      <c r="AA56" s="7">
        <f t="shared" si="18"/>
        <v>491.5</v>
      </c>
      <c r="AB56" s="7">
        <f t="shared" si="19"/>
        <v>332.5</v>
      </c>
      <c r="AC56" s="16">
        <f t="shared" si="20"/>
        <v>694.375</v>
      </c>
      <c r="AD56" s="32">
        <v>1204</v>
      </c>
      <c r="AE56" s="113" t="s">
        <v>86</v>
      </c>
    </row>
    <row r="57" spans="1:31" x14ac:dyDescent="0.3">
      <c r="A57" s="18">
        <v>15</v>
      </c>
      <c r="B57" s="15" t="str">
        <f t="shared" si="1"/>
        <v>1:2</v>
      </c>
      <c r="C57" s="7" t="str">
        <f t="shared" si="2"/>
        <v>單</v>
      </c>
      <c r="D57" s="7">
        <f t="shared" si="15"/>
        <v>0</v>
      </c>
      <c r="E57" s="7" t="str">
        <f t="shared" si="3"/>
        <v>2個(後驅)</v>
      </c>
      <c r="F57" s="7">
        <f t="shared" si="4"/>
        <v>0</v>
      </c>
      <c r="G57" s="7">
        <f t="shared" si="5"/>
        <v>0</v>
      </c>
      <c r="H57" s="7">
        <f t="shared" si="6"/>
        <v>0</v>
      </c>
      <c r="I57" s="7" t="str">
        <f t="shared" si="7"/>
        <v>4輪</v>
      </c>
      <c r="J57" s="7">
        <f t="shared" si="8"/>
        <v>0</v>
      </c>
      <c r="K57" s="7" t="str">
        <f t="shared" si="9"/>
        <v>小(35mm)</v>
      </c>
      <c r="L57" s="7">
        <f t="shared" si="10"/>
        <v>0</v>
      </c>
      <c r="M57" s="7" t="str">
        <f t="shared" si="11"/>
        <v>小(35mm)</v>
      </c>
      <c r="N57" s="7">
        <f t="shared" si="12"/>
        <v>0</v>
      </c>
      <c r="O57" s="7">
        <f t="shared" si="13"/>
        <v>0</v>
      </c>
      <c r="P57" s="16" t="str">
        <f t="shared" si="14"/>
        <v>雙(7mm)</v>
      </c>
      <c r="Q57" s="15">
        <v>945</v>
      </c>
      <c r="R57" s="32">
        <v>1046</v>
      </c>
      <c r="S57" s="7">
        <v>975</v>
      </c>
      <c r="T57" s="7">
        <v>1004</v>
      </c>
      <c r="U57" s="31">
        <v>635</v>
      </c>
      <c r="V57" s="31">
        <v>603.5</v>
      </c>
      <c r="W57" s="31">
        <v>491</v>
      </c>
      <c r="X57" s="31">
        <v>560</v>
      </c>
      <c r="Y57" s="15">
        <f t="shared" si="16"/>
        <v>991.33333333333337</v>
      </c>
      <c r="Z57" s="7">
        <f t="shared" si="17"/>
        <v>989.5</v>
      </c>
      <c r="AA57" s="7">
        <f t="shared" si="18"/>
        <v>619.25</v>
      </c>
      <c r="AB57" s="7">
        <f t="shared" si="19"/>
        <v>525.5</v>
      </c>
      <c r="AC57" s="16">
        <f t="shared" si="20"/>
        <v>782.4375</v>
      </c>
      <c r="AD57" s="31">
        <v>983</v>
      </c>
      <c r="AE57" s="113"/>
    </row>
    <row r="58" spans="1:31" ht="16.8" thickBot="1" x14ac:dyDescent="0.35">
      <c r="A58" s="19">
        <v>16</v>
      </c>
      <c r="B58" s="8" t="str">
        <f t="shared" si="1"/>
        <v>1:2</v>
      </c>
      <c r="C58" s="13" t="str">
        <f t="shared" si="2"/>
        <v>單</v>
      </c>
      <c r="D58" s="13">
        <f t="shared" si="15"/>
        <v>0</v>
      </c>
      <c r="E58" s="13" t="str">
        <f t="shared" si="3"/>
        <v>2個(後驅)</v>
      </c>
      <c r="F58" s="13">
        <f t="shared" si="4"/>
        <v>0</v>
      </c>
      <c r="G58" s="13">
        <f t="shared" si="5"/>
        <v>0</v>
      </c>
      <c r="H58" s="13">
        <f t="shared" si="6"/>
        <v>0</v>
      </c>
      <c r="I58" s="13" t="str">
        <f t="shared" si="7"/>
        <v>3輪</v>
      </c>
      <c r="J58" s="13">
        <f t="shared" si="8"/>
        <v>0</v>
      </c>
      <c r="K58" s="13" t="str">
        <f t="shared" si="9"/>
        <v>大(45mm)</v>
      </c>
      <c r="L58" s="13">
        <f t="shared" si="10"/>
        <v>0</v>
      </c>
      <c r="M58" s="13" t="str">
        <f t="shared" si="11"/>
        <v>大(45mm)</v>
      </c>
      <c r="N58" s="13">
        <f t="shared" si="12"/>
        <v>0</v>
      </c>
      <c r="O58" s="13">
        <f t="shared" si="13"/>
        <v>0</v>
      </c>
      <c r="P58" s="14" t="str">
        <f t="shared" si="14"/>
        <v>單(3.5mm)</v>
      </c>
      <c r="Q58" s="8">
        <v>1328</v>
      </c>
      <c r="R58" s="13">
        <v>1207</v>
      </c>
      <c r="S58" s="34">
        <v>745</v>
      </c>
      <c r="T58" s="34">
        <v>746</v>
      </c>
      <c r="U58" s="34">
        <v>554</v>
      </c>
      <c r="V58" s="34">
        <v>562</v>
      </c>
      <c r="W58" s="34">
        <v>505</v>
      </c>
      <c r="X58" s="34">
        <v>396</v>
      </c>
      <c r="Y58" s="8">
        <f t="shared" si="16"/>
        <v>1203</v>
      </c>
      <c r="Z58" s="13">
        <f t="shared" si="17"/>
        <v>745.5</v>
      </c>
      <c r="AA58" s="13">
        <f t="shared" si="18"/>
        <v>558</v>
      </c>
      <c r="AB58" s="13">
        <f t="shared" si="19"/>
        <v>450.5</v>
      </c>
      <c r="AC58" s="14">
        <f t="shared" si="20"/>
        <v>755.375</v>
      </c>
      <c r="AD58" s="7">
        <v>1074</v>
      </c>
      <c r="AE58" s="7"/>
    </row>
    <row r="59" spans="1:31" ht="16.8" thickBot="1" x14ac:dyDescent="0.35">
      <c r="A59" s="17" t="s">
        <v>114</v>
      </c>
      <c r="B59" s="8" t="str">
        <f t="shared" si="1"/>
        <v>1:2</v>
      </c>
      <c r="C59" s="13" t="str">
        <f t="shared" si="2"/>
        <v>單</v>
      </c>
      <c r="D59" s="13">
        <f t="shared" si="15"/>
        <v>0</v>
      </c>
      <c r="E59" s="13" t="str">
        <f t="shared" si="3"/>
        <v>2個(後驅)</v>
      </c>
      <c r="F59" s="13">
        <f t="shared" si="4"/>
        <v>0</v>
      </c>
      <c r="G59" s="13">
        <f t="shared" si="5"/>
        <v>0</v>
      </c>
      <c r="H59" s="13">
        <f t="shared" si="6"/>
        <v>0</v>
      </c>
      <c r="I59" s="13" t="str">
        <f t="shared" si="7"/>
        <v>4輪</v>
      </c>
      <c r="J59" s="13">
        <f t="shared" si="8"/>
        <v>0</v>
      </c>
      <c r="K59" s="13" t="str">
        <f t="shared" si="9"/>
        <v>大(45mm)</v>
      </c>
      <c r="L59" s="13">
        <f t="shared" si="10"/>
        <v>0</v>
      </c>
      <c r="M59" s="13" t="str">
        <f t="shared" si="11"/>
        <v>大(45mm)</v>
      </c>
      <c r="N59" s="13">
        <f t="shared" si="12"/>
        <v>0</v>
      </c>
      <c r="O59" s="13">
        <f t="shared" si="13"/>
        <v>0</v>
      </c>
      <c r="P59" s="14" t="str">
        <f t="shared" si="14"/>
        <v>單(3.5mm)</v>
      </c>
      <c r="Q59" s="107">
        <v>1127</v>
      </c>
      <c r="R59" s="106">
        <f>32*40+18</f>
        <v>1298</v>
      </c>
      <c r="S59" s="122">
        <v>809</v>
      </c>
      <c r="T59" s="122">
        <f>40*18+24</f>
        <v>744</v>
      </c>
      <c r="U59" s="122">
        <f>16*40-12</f>
        <v>628</v>
      </c>
      <c r="V59" s="122">
        <f>14*40-11</f>
        <v>549</v>
      </c>
      <c r="W59" s="122">
        <f>13*40-6</f>
        <v>514</v>
      </c>
      <c r="X59" s="123">
        <f>12*40-5</f>
        <v>475</v>
      </c>
      <c r="Y59" s="8">
        <f>AVERAGE(Q59,R59,AD59)</f>
        <v>1147</v>
      </c>
      <c r="Z59" s="13">
        <f>AVERAGE(S59:T59)</f>
        <v>776.5</v>
      </c>
      <c r="AA59" s="13">
        <f>AVERAGE(U59:V59)</f>
        <v>588.5</v>
      </c>
      <c r="AB59" s="13">
        <f>AVERAGE(W59:X59)</f>
        <v>494.5</v>
      </c>
      <c r="AC59" s="14">
        <f>AVERAGE(Q59:X59)</f>
        <v>768</v>
      </c>
      <c r="AD59" s="31">
        <f>40*25+16</f>
        <v>1016</v>
      </c>
      <c r="AE59" s="7"/>
    </row>
    <row r="61" spans="1:31" x14ac:dyDescent="0.3">
      <c r="A61" s="2" t="s">
        <v>41</v>
      </c>
    </row>
    <row r="62" spans="1:31" x14ac:dyDescent="0.3">
      <c r="C62" t="s">
        <v>0</v>
      </c>
      <c r="D62" t="s">
        <v>1</v>
      </c>
    </row>
    <row r="63" spans="1:31" x14ac:dyDescent="0.3">
      <c r="A63">
        <v>1</v>
      </c>
      <c r="B63" s="3" t="s">
        <v>18</v>
      </c>
      <c r="C63" t="s">
        <v>5</v>
      </c>
      <c r="D63" t="s">
        <v>4</v>
      </c>
    </row>
    <row r="64" spans="1:31" x14ac:dyDescent="0.3">
      <c r="A64">
        <v>2</v>
      </c>
      <c r="B64" s="3" t="s">
        <v>98</v>
      </c>
      <c r="C64" t="s">
        <v>6</v>
      </c>
      <c r="D64" t="s">
        <v>7</v>
      </c>
    </row>
    <row r="65" spans="1:13" x14ac:dyDescent="0.3">
      <c r="A65">
        <v>3</v>
      </c>
      <c r="B65" s="3" t="s">
        <v>133</v>
      </c>
      <c r="C65" t="s">
        <v>6</v>
      </c>
      <c r="D65" t="s">
        <v>7</v>
      </c>
    </row>
    <row r="67" spans="1:13" x14ac:dyDescent="0.3">
      <c r="A67" t="s">
        <v>42</v>
      </c>
    </row>
    <row r="68" spans="1:13" x14ac:dyDescent="0.3">
      <c r="A68" t="s">
        <v>8</v>
      </c>
      <c r="B68">
        <v>1</v>
      </c>
      <c r="C68">
        <v>2</v>
      </c>
      <c r="D68">
        <v>3</v>
      </c>
    </row>
    <row r="69" spans="1:13" x14ac:dyDescent="0.3">
      <c r="A69">
        <v>1</v>
      </c>
      <c r="B69">
        <v>1</v>
      </c>
      <c r="C69">
        <v>1</v>
      </c>
      <c r="D69">
        <v>1</v>
      </c>
    </row>
    <row r="70" spans="1:13" x14ac:dyDescent="0.3">
      <c r="A70">
        <v>2</v>
      </c>
      <c r="B70">
        <v>1</v>
      </c>
      <c r="C70">
        <v>2</v>
      </c>
      <c r="D70">
        <v>2</v>
      </c>
    </row>
    <row r="71" spans="1:13" x14ac:dyDescent="0.3">
      <c r="A71">
        <v>3</v>
      </c>
      <c r="B71">
        <v>2</v>
      </c>
      <c r="C71">
        <v>1</v>
      </c>
      <c r="D71">
        <v>2</v>
      </c>
    </row>
    <row r="72" spans="1:13" x14ac:dyDescent="0.3">
      <c r="A72">
        <v>4</v>
      </c>
      <c r="B72">
        <v>2</v>
      </c>
      <c r="C72">
        <v>2</v>
      </c>
      <c r="D72">
        <v>1</v>
      </c>
    </row>
    <row r="73" spans="1:13" ht="16.8" thickBot="1" x14ac:dyDescent="0.35"/>
    <row r="74" spans="1:13" ht="16.8" thickBot="1" x14ac:dyDescent="0.35">
      <c r="A74" s="25" t="s">
        <v>43</v>
      </c>
      <c r="B74" s="366" t="s">
        <v>20</v>
      </c>
      <c r="C74" s="367"/>
      <c r="D74" s="368"/>
      <c r="E74" s="366" t="s">
        <v>21</v>
      </c>
      <c r="F74" s="367"/>
      <c r="G74" s="367"/>
      <c r="H74" s="367"/>
      <c r="I74" s="367"/>
      <c r="J74" s="367"/>
      <c r="K74" s="367"/>
      <c r="L74" s="368"/>
    </row>
    <row r="75" spans="1:13" x14ac:dyDescent="0.3">
      <c r="A75" s="363" t="s">
        <v>8</v>
      </c>
      <c r="B75" s="25">
        <v>1</v>
      </c>
      <c r="C75" s="10">
        <v>2</v>
      </c>
      <c r="D75" s="12">
        <v>3</v>
      </c>
      <c r="E75" s="9" t="s">
        <v>22</v>
      </c>
      <c r="F75" s="9" t="s">
        <v>23</v>
      </c>
      <c r="G75" s="9" t="s">
        <v>24</v>
      </c>
      <c r="H75" s="9" t="s">
        <v>25</v>
      </c>
      <c r="I75" s="9" t="s">
        <v>26</v>
      </c>
      <c r="J75" s="9" t="s">
        <v>27</v>
      </c>
      <c r="K75" s="9" t="s">
        <v>28</v>
      </c>
      <c r="L75" s="11" t="s">
        <v>29</v>
      </c>
      <c r="M75" s="9" t="s">
        <v>89</v>
      </c>
    </row>
    <row r="76" spans="1:13" ht="33" thickBot="1" x14ac:dyDescent="0.35">
      <c r="A76" s="364"/>
      <c r="B76" s="22" t="str">
        <f>B63</f>
        <v>動力驅動位置</v>
      </c>
      <c r="C76" s="23" t="str">
        <f>B64</f>
        <v>驅動輪半徑大小</v>
      </c>
      <c r="D76" s="24" t="str">
        <f>B65</f>
        <v>非驅動輪半徑</v>
      </c>
      <c r="E76" s="376" t="s">
        <v>30</v>
      </c>
      <c r="F76" s="341"/>
      <c r="G76" s="341"/>
      <c r="H76" s="369" t="s">
        <v>32</v>
      </c>
      <c r="I76" s="369"/>
      <c r="J76" s="369" t="s">
        <v>34</v>
      </c>
      <c r="K76" s="369"/>
      <c r="L76" s="369" t="s">
        <v>35</v>
      </c>
      <c r="M76" s="365"/>
    </row>
    <row r="77" spans="1:13" x14ac:dyDescent="0.3">
      <c r="A77" s="26">
        <v>1</v>
      </c>
      <c r="B77" s="25" t="str">
        <f>IF(B69=1,$C$63,$D$63)</f>
        <v>後輪</v>
      </c>
      <c r="C77" s="10" t="str">
        <f>IF(C69=1,$C$64,$D$64)</f>
        <v>大</v>
      </c>
      <c r="D77" s="12" t="str">
        <f>IF(D69=1,$C$65,$D$65)</f>
        <v>大</v>
      </c>
      <c r="E77" s="25">
        <v>1048</v>
      </c>
      <c r="F77" s="10">
        <v>1072</v>
      </c>
      <c r="G77" s="10">
        <v>1018</v>
      </c>
      <c r="H77" s="10">
        <v>808</v>
      </c>
      <c r="I77" s="10">
        <v>804</v>
      </c>
      <c r="J77" s="10">
        <v>732</v>
      </c>
      <c r="K77" s="10">
        <v>733</v>
      </c>
      <c r="L77" s="12">
        <v>660</v>
      </c>
      <c r="M77">
        <v>682</v>
      </c>
    </row>
    <row r="78" spans="1:13" x14ac:dyDescent="0.3">
      <c r="A78" s="27">
        <v>2</v>
      </c>
      <c r="B78" s="28" t="str">
        <f>IF(B70=1,$C$63,$D$63)</f>
        <v>後輪</v>
      </c>
      <c r="C78" s="9" t="str">
        <f>IF(C70=1,$C$64,$D$64)</f>
        <v>小</v>
      </c>
      <c r="D78" s="11" t="str">
        <f>IF(D70=1,$C$65,$D$65)</f>
        <v>小</v>
      </c>
      <c r="E78" s="28">
        <v>828</v>
      </c>
      <c r="F78" s="9">
        <v>854</v>
      </c>
      <c r="G78" s="9">
        <v>840</v>
      </c>
      <c r="H78" s="9">
        <v>673</v>
      </c>
      <c r="I78" s="9">
        <v>683</v>
      </c>
      <c r="J78" s="9">
        <v>617</v>
      </c>
      <c r="K78" s="9">
        <v>650</v>
      </c>
      <c r="L78" s="11">
        <v>606</v>
      </c>
      <c r="M78">
        <v>552</v>
      </c>
    </row>
    <row r="79" spans="1:13" x14ac:dyDescent="0.3">
      <c r="A79" s="27">
        <v>3</v>
      </c>
      <c r="B79" s="28" t="str">
        <f>IF(B71=1,$C$63,$D$63)</f>
        <v>前輪</v>
      </c>
      <c r="C79" s="9" t="str">
        <f>IF(C71=1,$C$64,$D$64)</f>
        <v>大</v>
      </c>
      <c r="D79" s="11" t="str">
        <f>IF(D71=1,$C$65,$D$65)</f>
        <v>小</v>
      </c>
      <c r="E79" s="28">
        <v>1188.5</v>
      </c>
      <c r="F79" s="9">
        <v>1140</v>
      </c>
      <c r="G79" s="9">
        <v>1012</v>
      </c>
      <c r="H79" s="9">
        <v>783</v>
      </c>
      <c r="I79" s="9">
        <v>793</v>
      </c>
      <c r="J79" s="9">
        <v>719</v>
      </c>
      <c r="K79" s="9">
        <v>716</v>
      </c>
      <c r="L79" s="11">
        <v>601</v>
      </c>
      <c r="M79">
        <v>600</v>
      </c>
    </row>
    <row r="80" spans="1:13" ht="16.8" thickBot="1" x14ac:dyDescent="0.35">
      <c r="A80" s="21">
        <v>4</v>
      </c>
      <c r="B80" s="22" t="str">
        <f>IF(B72=1,$C$63,$D$63)</f>
        <v>前輪</v>
      </c>
      <c r="C80" s="23" t="str">
        <f>IF(C72=1,$C$64,$D$64)</f>
        <v>小</v>
      </c>
      <c r="D80" s="24" t="str">
        <f>IF(D72=1,$C$65,$D$65)</f>
        <v>大</v>
      </c>
      <c r="E80" s="22">
        <v>1033</v>
      </c>
      <c r="F80" s="23">
        <v>991.5</v>
      </c>
      <c r="G80" s="23">
        <v>989.5</v>
      </c>
      <c r="H80" s="23">
        <v>720</v>
      </c>
      <c r="I80" s="23">
        <v>704</v>
      </c>
      <c r="J80" s="23">
        <v>600</v>
      </c>
      <c r="K80" s="23">
        <v>671</v>
      </c>
      <c r="L80" s="24">
        <v>609</v>
      </c>
      <c r="M80">
        <v>611</v>
      </c>
    </row>
    <row r="193" spans="5:5" x14ac:dyDescent="0.3">
      <c r="E193" t="s">
        <v>115</v>
      </c>
    </row>
  </sheetData>
  <mergeCells count="15">
    <mergeCell ref="A75:A76"/>
    <mergeCell ref="A41:A42"/>
    <mergeCell ref="Y40:AC40"/>
    <mergeCell ref="B74:D74"/>
    <mergeCell ref="E74:L74"/>
    <mergeCell ref="H76:I76"/>
    <mergeCell ref="J76:K76"/>
    <mergeCell ref="L76:M76"/>
    <mergeCell ref="B40:P40"/>
    <mergeCell ref="Q40:X40"/>
    <mergeCell ref="Q42:R42"/>
    <mergeCell ref="S42:T42"/>
    <mergeCell ref="U42:V42"/>
    <mergeCell ref="W42:X42"/>
    <mergeCell ref="E76:G7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4C24-CA3A-444D-B706-56FD64D71A1F}">
  <dimension ref="A1:O307"/>
  <sheetViews>
    <sheetView tabSelected="1" topLeftCell="A288" workbookViewId="0">
      <selection activeCell="I312" sqref="I312"/>
    </sheetView>
  </sheetViews>
  <sheetFormatPr defaultRowHeight="16.2" x14ac:dyDescent="0.3"/>
  <sheetData>
    <row r="1" spans="1:15" x14ac:dyDescent="0.3">
      <c r="A1" t="s">
        <v>279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277</v>
      </c>
      <c r="H1" t="s">
        <v>268</v>
      </c>
      <c r="I1" t="s">
        <v>269</v>
      </c>
      <c r="J1" t="s">
        <v>270</v>
      </c>
      <c r="K1" t="s">
        <v>271</v>
      </c>
      <c r="L1" t="s">
        <v>272</v>
      </c>
      <c r="M1" t="s">
        <v>276</v>
      </c>
      <c r="N1" t="s">
        <v>273</v>
      </c>
      <c r="O1" t="s">
        <v>278</v>
      </c>
    </row>
    <row r="2" spans="1:15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</v>
      </c>
      <c r="N2">
        <v>732</v>
      </c>
      <c r="O2">
        <v>10</v>
      </c>
    </row>
    <row r="3" spans="1:15" x14ac:dyDescent="0.3">
      <c r="A3">
        <v>2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13</v>
      </c>
      <c r="N3">
        <v>499</v>
      </c>
      <c r="O3">
        <v>10</v>
      </c>
    </row>
    <row r="4" spans="1:15" x14ac:dyDescent="0.3">
      <c r="A4">
        <v>3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13</v>
      </c>
      <c r="N4">
        <v>562</v>
      </c>
      <c r="O4">
        <v>10</v>
      </c>
    </row>
    <row r="5" spans="1:15" x14ac:dyDescent="0.3">
      <c r="A5">
        <v>4</v>
      </c>
      <c r="B5">
        <v>0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13</v>
      </c>
      <c r="N5">
        <v>756</v>
      </c>
      <c r="O5">
        <v>15</v>
      </c>
    </row>
    <row r="6" spans="1:15" x14ac:dyDescent="0.3">
      <c r="A6">
        <v>5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13</v>
      </c>
      <c r="N6">
        <v>627</v>
      </c>
      <c r="O6">
        <v>40</v>
      </c>
    </row>
    <row r="7" spans="1:15" x14ac:dyDescent="0.3">
      <c r="A7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13</v>
      </c>
      <c r="N7">
        <v>756</v>
      </c>
      <c r="O7">
        <v>80</v>
      </c>
    </row>
    <row r="8" spans="1:15" x14ac:dyDescent="0.3">
      <c r="A8">
        <v>7</v>
      </c>
      <c r="B8">
        <v>0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13</v>
      </c>
      <c r="N8">
        <v>591</v>
      </c>
      <c r="O8">
        <v>40</v>
      </c>
    </row>
    <row r="9" spans="1:15" x14ac:dyDescent="0.3">
      <c r="A9">
        <v>8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13</v>
      </c>
      <c r="N9">
        <v>762</v>
      </c>
      <c r="O9">
        <v>40</v>
      </c>
    </row>
    <row r="10" spans="1:15" x14ac:dyDescent="0.3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13</v>
      </c>
      <c r="N10">
        <v>773</v>
      </c>
      <c r="O10">
        <v>20</v>
      </c>
    </row>
    <row r="11" spans="1:15" x14ac:dyDescent="0.3">
      <c r="A11">
        <v>10</v>
      </c>
      <c r="B11">
        <v>1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13</v>
      </c>
      <c r="N11">
        <v>1088</v>
      </c>
      <c r="O11">
        <v>20</v>
      </c>
    </row>
    <row r="12" spans="1:15" x14ac:dyDescent="0.3">
      <c r="A12">
        <v>11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13</v>
      </c>
      <c r="N12">
        <v>1006</v>
      </c>
      <c r="O12">
        <v>25</v>
      </c>
    </row>
    <row r="13" spans="1:15" x14ac:dyDescent="0.3">
      <c r="A13">
        <v>12</v>
      </c>
      <c r="B13">
        <v>1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13</v>
      </c>
      <c r="N13">
        <v>1337</v>
      </c>
      <c r="O13">
        <v>10</v>
      </c>
    </row>
    <row r="14" spans="1:15" x14ac:dyDescent="0.3">
      <c r="A14">
        <v>13</v>
      </c>
      <c r="B14">
        <v>1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13</v>
      </c>
      <c r="N14">
        <v>763</v>
      </c>
      <c r="O14">
        <v>80</v>
      </c>
    </row>
    <row r="15" spans="1:15" x14ac:dyDescent="0.3">
      <c r="A15">
        <v>14</v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13</v>
      </c>
      <c r="N15">
        <v>825</v>
      </c>
      <c r="O15">
        <v>40</v>
      </c>
    </row>
    <row r="16" spans="1:15" x14ac:dyDescent="0.3">
      <c r="A16">
        <v>15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13</v>
      </c>
      <c r="N16">
        <v>945</v>
      </c>
      <c r="O16">
        <v>40</v>
      </c>
    </row>
    <row r="17" spans="1:15" x14ac:dyDescent="0.3">
      <c r="A17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13</v>
      </c>
      <c r="N17">
        <v>1328</v>
      </c>
      <c r="O17">
        <v>30</v>
      </c>
    </row>
    <row r="18" spans="1:15" x14ac:dyDescent="0.3">
      <c r="A18">
        <v>17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13</v>
      </c>
      <c r="N18">
        <v>1127</v>
      </c>
      <c r="O18">
        <v>20</v>
      </c>
    </row>
    <row r="19" spans="1:15" x14ac:dyDescent="0.3">
      <c r="A19">
        <v>18</v>
      </c>
      <c r="B19">
        <v>2</v>
      </c>
      <c r="C19">
        <v>2</v>
      </c>
      <c r="D19">
        <v>2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13</v>
      </c>
      <c r="N19">
        <v>1048</v>
      </c>
      <c r="O19" s="42">
        <v>60</v>
      </c>
    </row>
    <row r="20" spans="1:15" x14ac:dyDescent="0.3">
      <c r="A20">
        <v>19</v>
      </c>
      <c r="B20">
        <v>2</v>
      </c>
      <c r="C20">
        <v>2</v>
      </c>
      <c r="D20">
        <v>2</v>
      </c>
      <c r="E20">
        <v>0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13</v>
      </c>
      <c r="N20">
        <v>828</v>
      </c>
      <c r="O20" s="42">
        <v>100</v>
      </c>
    </row>
    <row r="21" spans="1:15" x14ac:dyDescent="0.3">
      <c r="A21">
        <v>20</v>
      </c>
      <c r="B21">
        <v>2</v>
      </c>
      <c r="C21">
        <v>2</v>
      </c>
      <c r="D21">
        <v>2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13</v>
      </c>
      <c r="N21">
        <v>1188.5</v>
      </c>
      <c r="O21" s="42">
        <v>70</v>
      </c>
    </row>
    <row r="22" spans="1:15" x14ac:dyDescent="0.3">
      <c r="A22">
        <v>21</v>
      </c>
      <c r="B22">
        <v>2</v>
      </c>
      <c r="C22">
        <v>2</v>
      </c>
      <c r="D22">
        <v>2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13</v>
      </c>
      <c r="N22">
        <v>1033</v>
      </c>
      <c r="O22" s="42">
        <v>70</v>
      </c>
    </row>
    <row r="23" spans="1:15" x14ac:dyDescent="0.3">
      <c r="A23">
        <v>22</v>
      </c>
      <c r="B23">
        <v>2</v>
      </c>
      <c r="C23">
        <v>2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13</v>
      </c>
      <c r="N23">
        <v>975</v>
      </c>
      <c r="O23" s="42">
        <v>95</v>
      </c>
    </row>
    <row r="24" spans="1:15" x14ac:dyDescent="0.3">
      <c r="A24">
        <v>23</v>
      </c>
      <c r="B24">
        <v>2</v>
      </c>
      <c r="C24">
        <v>2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13</v>
      </c>
      <c r="N24">
        <v>1107</v>
      </c>
      <c r="O24">
        <v>191</v>
      </c>
    </row>
    <row r="25" spans="1:15" x14ac:dyDescent="0.3">
      <c r="A25">
        <v>24</v>
      </c>
      <c r="B25">
        <v>1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13</v>
      </c>
      <c r="N25">
        <v>1280</v>
      </c>
      <c r="O25">
        <v>50</v>
      </c>
    </row>
    <row r="26" spans="1:15" x14ac:dyDescent="0.3">
      <c r="A26">
        <v>25</v>
      </c>
      <c r="B26">
        <v>2</v>
      </c>
      <c r="C26">
        <v>2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13</v>
      </c>
      <c r="N26">
        <v>887</v>
      </c>
      <c r="O26">
        <v>120</v>
      </c>
    </row>
    <row r="27" spans="1:15" x14ac:dyDescent="0.3">
      <c r="A27">
        <v>26</v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13</v>
      </c>
      <c r="N27">
        <v>910</v>
      </c>
      <c r="O27">
        <v>8</v>
      </c>
    </row>
    <row r="28" spans="1:15" x14ac:dyDescent="0.3">
      <c r="A28">
        <v>27</v>
      </c>
      <c r="B28">
        <v>2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13</v>
      </c>
      <c r="N28">
        <v>883</v>
      </c>
      <c r="O28">
        <v>60</v>
      </c>
    </row>
    <row r="29" spans="1:15" x14ac:dyDescent="0.3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13</v>
      </c>
      <c r="N29">
        <v>1000</v>
      </c>
      <c r="O29">
        <v>20</v>
      </c>
    </row>
    <row r="30" spans="1:15" x14ac:dyDescent="0.3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13</v>
      </c>
      <c r="N30">
        <v>716</v>
      </c>
      <c r="O30">
        <v>10</v>
      </c>
    </row>
    <row r="31" spans="1:15" x14ac:dyDescent="0.3">
      <c r="A31">
        <v>2</v>
      </c>
      <c r="B31">
        <v>0</v>
      </c>
      <c r="C31">
        <v>0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13</v>
      </c>
      <c r="N31">
        <v>536.5</v>
      </c>
      <c r="O31">
        <v>2</v>
      </c>
    </row>
    <row r="32" spans="1:15" x14ac:dyDescent="0.3">
      <c r="A32">
        <v>3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1</v>
      </c>
      <c r="I32">
        <v>1</v>
      </c>
      <c r="J32">
        <v>0</v>
      </c>
      <c r="K32">
        <v>0</v>
      </c>
      <c r="L32">
        <v>0</v>
      </c>
      <c r="M32">
        <v>13</v>
      </c>
      <c r="N32">
        <v>563.5</v>
      </c>
      <c r="O32">
        <v>10</v>
      </c>
    </row>
    <row r="33" spans="1:15" x14ac:dyDescent="0.3">
      <c r="A33">
        <v>4</v>
      </c>
      <c r="B33">
        <v>0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13</v>
      </c>
      <c r="N33">
        <v>668</v>
      </c>
      <c r="O33">
        <v>10</v>
      </c>
    </row>
    <row r="34" spans="1:15" x14ac:dyDescent="0.3">
      <c r="A34">
        <v>5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13</v>
      </c>
      <c r="N34">
        <v>586</v>
      </c>
      <c r="O34">
        <v>20</v>
      </c>
    </row>
    <row r="35" spans="1:15" x14ac:dyDescent="0.3">
      <c r="A35">
        <v>6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13</v>
      </c>
      <c r="N35">
        <v>531</v>
      </c>
      <c r="O35">
        <v>70</v>
      </c>
    </row>
    <row r="36" spans="1:15" x14ac:dyDescent="0.3">
      <c r="A36">
        <v>7</v>
      </c>
      <c r="B36">
        <v>0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13</v>
      </c>
      <c r="N36">
        <v>599.5</v>
      </c>
      <c r="O36">
        <v>30</v>
      </c>
    </row>
    <row r="37" spans="1:15" x14ac:dyDescent="0.3">
      <c r="A37">
        <v>8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13</v>
      </c>
      <c r="N37">
        <v>772</v>
      </c>
      <c r="O37">
        <v>30</v>
      </c>
    </row>
    <row r="38" spans="1:15" x14ac:dyDescent="0.3">
      <c r="A38">
        <v>9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13</v>
      </c>
      <c r="N38">
        <v>834</v>
      </c>
      <c r="O38">
        <v>20</v>
      </c>
    </row>
    <row r="39" spans="1:15" x14ac:dyDescent="0.3">
      <c r="A39">
        <v>10</v>
      </c>
      <c r="B39">
        <v>1</v>
      </c>
      <c r="C39">
        <v>0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13</v>
      </c>
      <c r="N39">
        <v>983</v>
      </c>
      <c r="O39">
        <v>20</v>
      </c>
    </row>
    <row r="40" spans="1:15" x14ac:dyDescent="0.3">
      <c r="A40">
        <v>11</v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13</v>
      </c>
      <c r="N40">
        <v>1124</v>
      </c>
      <c r="O40">
        <v>10</v>
      </c>
    </row>
    <row r="41" spans="1:15" x14ac:dyDescent="0.3">
      <c r="A41">
        <v>12</v>
      </c>
      <c r="B41">
        <v>1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13</v>
      </c>
      <c r="N41">
        <v>1295</v>
      </c>
      <c r="O41">
        <v>10</v>
      </c>
    </row>
    <row r="42" spans="1:15" x14ac:dyDescent="0.3">
      <c r="A42">
        <v>13</v>
      </c>
      <c r="B42">
        <v>1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13</v>
      </c>
      <c r="N42">
        <v>817</v>
      </c>
      <c r="O42">
        <v>75</v>
      </c>
    </row>
    <row r="43" spans="1:15" x14ac:dyDescent="0.3">
      <c r="A43">
        <v>14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13</v>
      </c>
      <c r="N43">
        <v>908</v>
      </c>
      <c r="O43">
        <v>50</v>
      </c>
    </row>
    <row r="44" spans="1:15" x14ac:dyDescent="0.3">
      <c r="A44">
        <v>15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13</v>
      </c>
      <c r="N44">
        <v>1046</v>
      </c>
      <c r="O44">
        <v>20</v>
      </c>
    </row>
    <row r="45" spans="1:15" x14ac:dyDescent="0.3">
      <c r="A45">
        <v>16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13</v>
      </c>
      <c r="N45">
        <v>1207</v>
      </c>
      <c r="O45">
        <v>30</v>
      </c>
    </row>
    <row r="46" spans="1:15" x14ac:dyDescent="0.3">
      <c r="A46">
        <v>17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13</v>
      </c>
      <c r="N46">
        <v>1298</v>
      </c>
      <c r="O46">
        <v>15</v>
      </c>
    </row>
    <row r="47" spans="1:15" x14ac:dyDescent="0.3">
      <c r="A47">
        <v>18</v>
      </c>
      <c r="B47">
        <v>2</v>
      </c>
      <c r="C47">
        <v>2</v>
      </c>
      <c r="D47">
        <v>2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13</v>
      </c>
      <c r="N47">
        <v>1072</v>
      </c>
      <c r="O47" s="42">
        <v>70</v>
      </c>
    </row>
    <row r="48" spans="1:15" x14ac:dyDescent="0.3">
      <c r="A48">
        <v>19</v>
      </c>
      <c r="B48">
        <v>2</v>
      </c>
      <c r="C48">
        <v>2</v>
      </c>
      <c r="D48">
        <v>2</v>
      </c>
      <c r="E48">
        <v>0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13</v>
      </c>
      <c r="N48">
        <v>854</v>
      </c>
      <c r="O48" s="42">
        <v>120</v>
      </c>
    </row>
    <row r="49" spans="1:15" x14ac:dyDescent="0.3">
      <c r="A49">
        <v>20</v>
      </c>
      <c r="B49">
        <v>2</v>
      </c>
      <c r="C49">
        <v>2</v>
      </c>
      <c r="D49">
        <v>2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13</v>
      </c>
      <c r="N49">
        <v>1140</v>
      </c>
      <c r="O49" s="42">
        <v>80</v>
      </c>
    </row>
    <row r="50" spans="1:15" x14ac:dyDescent="0.3">
      <c r="A50">
        <v>21</v>
      </c>
      <c r="B50">
        <v>2</v>
      </c>
      <c r="C50">
        <v>2</v>
      </c>
      <c r="D50">
        <v>2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13</v>
      </c>
      <c r="N50">
        <v>991.5</v>
      </c>
      <c r="O50" s="42">
        <v>70</v>
      </c>
    </row>
    <row r="51" spans="1:15" x14ac:dyDescent="0.3">
      <c r="A51">
        <v>22</v>
      </c>
      <c r="B51">
        <v>2</v>
      </c>
      <c r="C51">
        <v>2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13</v>
      </c>
      <c r="N51">
        <v>1186</v>
      </c>
      <c r="O51" s="42">
        <v>90</v>
      </c>
    </row>
    <row r="52" spans="1:15" x14ac:dyDescent="0.3">
      <c r="A52">
        <v>23</v>
      </c>
      <c r="B52">
        <v>2</v>
      </c>
      <c r="C52">
        <v>2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13</v>
      </c>
      <c r="N52">
        <v>1157</v>
      </c>
      <c r="O52">
        <v>237</v>
      </c>
    </row>
    <row r="53" spans="1:15" x14ac:dyDescent="0.3">
      <c r="A53">
        <v>24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13</v>
      </c>
      <c r="N53">
        <v>1268</v>
      </c>
      <c r="O53">
        <v>85</v>
      </c>
    </row>
    <row r="54" spans="1:15" x14ac:dyDescent="0.3">
      <c r="A54">
        <v>25</v>
      </c>
      <c r="B54">
        <v>2</v>
      </c>
      <c r="C54">
        <v>2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13</v>
      </c>
      <c r="N54">
        <v>880</v>
      </c>
      <c r="O54">
        <v>125</v>
      </c>
    </row>
    <row r="55" spans="1:15" x14ac:dyDescent="0.3">
      <c r="A55">
        <v>26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0</v>
      </c>
      <c r="M55">
        <v>13</v>
      </c>
      <c r="N55">
        <v>980</v>
      </c>
      <c r="O55">
        <v>13</v>
      </c>
    </row>
    <row r="56" spans="1:15" x14ac:dyDescent="0.3">
      <c r="A56">
        <v>27</v>
      </c>
      <c r="B56">
        <v>2</v>
      </c>
      <c r="C56">
        <v>2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13</v>
      </c>
      <c r="N56">
        <v>877</v>
      </c>
      <c r="O56">
        <v>60</v>
      </c>
    </row>
    <row r="57" spans="1:15" x14ac:dyDescent="0.3">
      <c r="A57">
        <v>28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13</v>
      </c>
      <c r="N57">
        <v>948</v>
      </c>
      <c r="O57">
        <v>30</v>
      </c>
    </row>
    <row r="58" spans="1:15" x14ac:dyDescent="0.3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13</v>
      </c>
      <c r="N58">
        <v>632</v>
      </c>
      <c r="O58">
        <v>15</v>
      </c>
    </row>
    <row r="59" spans="1:15" x14ac:dyDescent="0.3">
      <c r="A59">
        <v>2</v>
      </c>
      <c r="B59">
        <v>0</v>
      </c>
      <c r="C59">
        <v>0</v>
      </c>
      <c r="D59">
        <v>0</v>
      </c>
      <c r="E59">
        <v>1</v>
      </c>
      <c r="F59">
        <v>1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13</v>
      </c>
      <c r="N59">
        <v>506.5</v>
      </c>
      <c r="O59">
        <v>10</v>
      </c>
    </row>
    <row r="60" spans="1:15" x14ac:dyDescent="0.3">
      <c r="A60">
        <v>3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13</v>
      </c>
      <c r="N60">
        <v>502</v>
      </c>
      <c r="O60">
        <v>5</v>
      </c>
    </row>
    <row r="61" spans="1:15" x14ac:dyDescent="0.3">
      <c r="A61">
        <v>4</v>
      </c>
      <c r="B61">
        <v>0</v>
      </c>
      <c r="C61">
        <v>0</v>
      </c>
      <c r="D61">
        <v>1</v>
      </c>
      <c r="E61">
        <v>1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13</v>
      </c>
      <c r="N61">
        <v>702.5</v>
      </c>
      <c r="O61">
        <v>15</v>
      </c>
    </row>
    <row r="62" spans="1:15" x14ac:dyDescent="0.3">
      <c r="A62">
        <v>5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13</v>
      </c>
      <c r="N62">
        <v>600</v>
      </c>
      <c r="O62">
        <v>30</v>
      </c>
    </row>
    <row r="63" spans="1:15" x14ac:dyDescent="0.3">
      <c r="A63">
        <v>6</v>
      </c>
      <c r="B63">
        <v>0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13</v>
      </c>
      <c r="N63">
        <v>720</v>
      </c>
      <c r="O63">
        <v>70</v>
      </c>
    </row>
    <row r="64" spans="1:15" x14ac:dyDescent="0.3">
      <c r="A64">
        <v>7</v>
      </c>
      <c r="B64">
        <v>0</v>
      </c>
      <c r="C64">
        <v>1</v>
      </c>
      <c r="D64">
        <v>1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13</v>
      </c>
      <c r="N64">
        <v>583</v>
      </c>
      <c r="O64">
        <v>60</v>
      </c>
    </row>
    <row r="65" spans="1:15" x14ac:dyDescent="0.3">
      <c r="A65">
        <v>8</v>
      </c>
      <c r="B65">
        <v>0</v>
      </c>
      <c r="C65">
        <v>1</v>
      </c>
      <c r="D65">
        <v>1</v>
      </c>
      <c r="E65">
        <v>1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13</v>
      </c>
      <c r="N65">
        <v>743</v>
      </c>
      <c r="O65">
        <v>40</v>
      </c>
    </row>
    <row r="66" spans="1:15" x14ac:dyDescent="0.3">
      <c r="A66">
        <v>9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13</v>
      </c>
      <c r="N66">
        <v>858</v>
      </c>
      <c r="O66">
        <v>20</v>
      </c>
    </row>
    <row r="67" spans="1:15" x14ac:dyDescent="0.3">
      <c r="A67">
        <v>10</v>
      </c>
      <c r="B67">
        <v>1</v>
      </c>
      <c r="C67">
        <v>0</v>
      </c>
      <c r="D67">
        <v>0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13</v>
      </c>
      <c r="N67">
        <v>1010</v>
      </c>
      <c r="O67">
        <v>20</v>
      </c>
    </row>
    <row r="68" spans="1:15" x14ac:dyDescent="0.3">
      <c r="A68">
        <v>11</v>
      </c>
      <c r="B68">
        <v>1</v>
      </c>
      <c r="C68">
        <v>0</v>
      </c>
      <c r="D68">
        <v>1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13</v>
      </c>
      <c r="N68">
        <v>1132</v>
      </c>
      <c r="O68">
        <v>20</v>
      </c>
    </row>
    <row r="69" spans="1:15" x14ac:dyDescent="0.3">
      <c r="A69">
        <v>12</v>
      </c>
      <c r="B69">
        <v>1</v>
      </c>
      <c r="C69">
        <v>0</v>
      </c>
      <c r="D69">
        <v>1</v>
      </c>
      <c r="E69">
        <v>1</v>
      </c>
      <c r="F69">
        <v>0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13</v>
      </c>
      <c r="N69">
        <v>989</v>
      </c>
      <c r="O69">
        <v>10</v>
      </c>
    </row>
    <row r="70" spans="1:15" x14ac:dyDescent="0.3">
      <c r="A70">
        <v>13</v>
      </c>
      <c r="B70">
        <v>1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13</v>
      </c>
      <c r="N70">
        <v>790</v>
      </c>
      <c r="O70">
        <v>70</v>
      </c>
    </row>
    <row r="71" spans="1:15" x14ac:dyDescent="0.3">
      <c r="A71">
        <v>14</v>
      </c>
      <c r="B71">
        <v>1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13</v>
      </c>
      <c r="N71">
        <v>1204</v>
      </c>
      <c r="O71">
        <v>30</v>
      </c>
    </row>
    <row r="72" spans="1:15" x14ac:dyDescent="0.3">
      <c r="A72">
        <v>15</v>
      </c>
      <c r="B72">
        <v>1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13</v>
      </c>
      <c r="N72">
        <v>983</v>
      </c>
      <c r="O72">
        <v>20</v>
      </c>
    </row>
    <row r="73" spans="1:15" x14ac:dyDescent="0.3">
      <c r="A73">
        <v>16</v>
      </c>
      <c r="B73">
        <v>1</v>
      </c>
      <c r="C73">
        <v>1</v>
      </c>
      <c r="D73">
        <v>1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13</v>
      </c>
      <c r="N73">
        <v>1074</v>
      </c>
      <c r="O73">
        <v>20</v>
      </c>
    </row>
    <row r="74" spans="1:15" x14ac:dyDescent="0.3">
      <c r="A74">
        <v>17</v>
      </c>
      <c r="B74">
        <v>1</v>
      </c>
      <c r="C74">
        <v>1</v>
      </c>
      <c r="D74">
        <v>1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13</v>
      </c>
      <c r="N74">
        <v>1016</v>
      </c>
      <c r="O74">
        <v>40</v>
      </c>
    </row>
    <row r="75" spans="1:15" x14ac:dyDescent="0.3">
      <c r="A75">
        <v>18</v>
      </c>
      <c r="B75">
        <v>2</v>
      </c>
      <c r="C75">
        <v>2</v>
      </c>
      <c r="D75">
        <v>2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13</v>
      </c>
      <c r="N75">
        <v>1018</v>
      </c>
      <c r="O75" s="42">
        <v>50</v>
      </c>
    </row>
    <row r="76" spans="1:15" x14ac:dyDescent="0.3">
      <c r="A76">
        <v>19</v>
      </c>
      <c r="B76">
        <v>2</v>
      </c>
      <c r="C76">
        <v>2</v>
      </c>
      <c r="D76">
        <v>2</v>
      </c>
      <c r="E76">
        <v>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13</v>
      </c>
      <c r="N76">
        <v>840</v>
      </c>
      <c r="O76" s="42">
        <v>80</v>
      </c>
    </row>
    <row r="77" spans="1:15" x14ac:dyDescent="0.3">
      <c r="A77">
        <v>20</v>
      </c>
      <c r="B77">
        <v>2</v>
      </c>
      <c r="C77">
        <v>2</v>
      </c>
      <c r="D77">
        <v>2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13</v>
      </c>
      <c r="N77">
        <v>1012</v>
      </c>
      <c r="O77" s="42">
        <v>80</v>
      </c>
    </row>
    <row r="78" spans="1:15" x14ac:dyDescent="0.3">
      <c r="A78">
        <v>21</v>
      </c>
      <c r="B78">
        <v>2</v>
      </c>
      <c r="C78">
        <v>2</v>
      </c>
      <c r="D78">
        <v>2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13</v>
      </c>
      <c r="N78">
        <v>989.5</v>
      </c>
      <c r="O78" s="42">
        <v>100</v>
      </c>
    </row>
    <row r="79" spans="1:15" x14ac:dyDescent="0.3">
      <c r="A79">
        <v>22</v>
      </c>
      <c r="B79">
        <v>2</v>
      </c>
      <c r="C79">
        <v>2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13</v>
      </c>
      <c r="N79">
        <v>1032</v>
      </c>
      <c r="O79" s="42">
        <v>80</v>
      </c>
    </row>
    <row r="80" spans="1:15" x14ac:dyDescent="0.3">
      <c r="A80">
        <v>23</v>
      </c>
      <c r="B80">
        <v>2</v>
      </c>
      <c r="C80">
        <v>2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13</v>
      </c>
      <c r="N80">
        <v>1127</v>
      </c>
      <c r="O80">
        <v>180</v>
      </c>
    </row>
    <row r="81" spans="1:15" x14ac:dyDescent="0.3">
      <c r="A81">
        <v>24</v>
      </c>
      <c r="B81">
        <v>1</v>
      </c>
      <c r="C81">
        <v>1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  <c r="M81">
        <v>13</v>
      </c>
      <c r="N81">
        <v>1270</v>
      </c>
      <c r="O81">
        <v>120</v>
      </c>
    </row>
    <row r="82" spans="1:15" x14ac:dyDescent="0.3">
      <c r="A82">
        <v>25</v>
      </c>
      <c r="B82">
        <v>2</v>
      </c>
      <c r="C82">
        <v>2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13</v>
      </c>
      <c r="N82">
        <v>987</v>
      </c>
      <c r="O82">
        <v>120</v>
      </c>
    </row>
    <row r="83" spans="1:15" x14ac:dyDescent="0.3">
      <c r="A83">
        <v>26</v>
      </c>
      <c r="B83">
        <v>1</v>
      </c>
      <c r="C83">
        <v>1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1</v>
      </c>
      <c r="L83">
        <v>0</v>
      </c>
      <c r="M83">
        <v>13</v>
      </c>
      <c r="N83">
        <v>1002</v>
      </c>
      <c r="O83">
        <v>38</v>
      </c>
    </row>
    <row r="84" spans="1:15" x14ac:dyDescent="0.3">
      <c r="A84">
        <v>27</v>
      </c>
      <c r="B84">
        <v>2</v>
      </c>
      <c r="C84">
        <v>2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13</v>
      </c>
      <c r="N84">
        <v>887</v>
      </c>
      <c r="O84">
        <v>65</v>
      </c>
    </row>
    <row r="85" spans="1:15" x14ac:dyDescent="0.3">
      <c r="A85">
        <v>28</v>
      </c>
      <c r="B85">
        <v>1</v>
      </c>
      <c r="C85">
        <v>1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13</v>
      </c>
      <c r="N85">
        <v>980</v>
      </c>
      <c r="O85">
        <v>30</v>
      </c>
    </row>
    <row r="86" spans="1:15" x14ac:dyDescent="0.3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13</v>
      </c>
      <c r="N86">
        <v>557</v>
      </c>
      <c r="O86">
        <v>5</v>
      </c>
    </row>
    <row r="87" spans="1:15" x14ac:dyDescent="0.3">
      <c r="A87">
        <v>2</v>
      </c>
      <c r="B87">
        <v>0</v>
      </c>
      <c r="C87">
        <v>0</v>
      </c>
      <c r="D87">
        <v>0</v>
      </c>
      <c r="E87">
        <v>1</v>
      </c>
      <c r="F87">
        <v>1</v>
      </c>
      <c r="G87">
        <v>1</v>
      </c>
      <c r="H87">
        <v>0</v>
      </c>
      <c r="I87">
        <v>1</v>
      </c>
      <c r="J87">
        <v>0</v>
      </c>
      <c r="K87">
        <v>0</v>
      </c>
      <c r="L87">
        <v>1</v>
      </c>
      <c r="M87">
        <v>13</v>
      </c>
      <c r="N87">
        <v>540</v>
      </c>
      <c r="O87">
        <v>2</v>
      </c>
    </row>
    <row r="88" spans="1:15" x14ac:dyDescent="0.3">
      <c r="A88">
        <v>3</v>
      </c>
      <c r="B88">
        <v>0</v>
      </c>
      <c r="C88">
        <v>0</v>
      </c>
      <c r="D88">
        <v>1</v>
      </c>
      <c r="E88">
        <v>0</v>
      </c>
      <c r="F88">
        <v>1</v>
      </c>
      <c r="G88">
        <v>0</v>
      </c>
      <c r="H88">
        <v>1</v>
      </c>
      <c r="I88">
        <v>1</v>
      </c>
      <c r="J88">
        <v>0</v>
      </c>
      <c r="K88">
        <v>0</v>
      </c>
      <c r="L88">
        <v>1</v>
      </c>
      <c r="M88">
        <v>13</v>
      </c>
      <c r="N88">
        <v>458</v>
      </c>
      <c r="O88">
        <v>5</v>
      </c>
    </row>
    <row r="89" spans="1:15" x14ac:dyDescent="0.3">
      <c r="A89">
        <v>4</v>
      </c>
      <c r="B89">
        <v>0</v>
      </c>
      <c r="C89">
        <v>0</v>
      </c>
      <c r="D89">
        <v>1</v>
      </c>
      <c r="E89">
        <v>1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13</v>
      </c>
      <c r="N89">
        <v>565</v>
      </c>
      <c r="O89">
        <v>5</v>
      </c>
    </row>
    <row r="90" spans="1:15" x14ac:dyDescent="0.3">
      <c r="A90">
        <v>5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13</v>
      </c>
      <c r="N90">
        <v>487</v>
      </c>
      <c r="O90">
        <v>20</v>
      </c>
    </row>
    <row r="91" spans="1:15" x14ac:dyDescent="0.3">
      <c r="A91">
        <v>6</v>
      </c>
      <c r="B91">
        <v>0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13</v>
      </c>
      <c r="N91">
        <v>625</v>
      </c>
      <c r="O91">
        <v>20</v>
      </c>
    </row>
    <row r="92" spans="1:15" x14ac:dyDescent="0.3">
      <c r="A92">
        <v>7</v>
      </c>
      <c r="B92">
        <v>0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1</v>
      </c>
      <c r="M92">
        <v>13</v>
      </c>
      <c r="N92">
        <v>529</v>
      </c>
      <c r="O92">
        <v>20</v>
      </c>
    </row>
    <row r="93" spans="1:15" x14ac:dyDescent="0.3">
      <c r="A93">
        <v>8</v>
      </c>
      <c r="B93">
        <v>0</v>
      </c>
      <c r="C93">
        <v>1</v>
      </c>
      <c r="D93">
        <v>1</v>
      </c>
      <c r="E93">
        <v>1</v>
      </c>
      <c r="F93">
        <v>0</v>
      </c>
      <c r="G93">
        <v>0</v>
      </c>
      <c r="H93">
        <v>1</v>
      </c>
      <c r="I93">
        <v>1</v>
      </c>
      <c r="J93">
        <v>0</v>
      </c>
      <c r="K93">
        <v>0</v>
      </c>
      <c r="L93">
        <v>1</v>
      </c>
      <c r="M93">
        <v>13</v>
      </c>
      <c r="N93">
        <v>634</v>
      </c>
      <c r="O93">
        <v>12</v>
      </c>
    </row>
    <row r="94" spans="1:15" x14ac:dyDescent="0.3">
      <c r="A94">
        <v>9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13</v>
      </c>
      <c r="N94">
        <v>675</v>
      </c>
      <c r="O94">
        <v>10</v>
      </c>
    </row>
    <row r="95" spans="1:15" x14ac:dyDescent="0.3">
      <c r="A95">
        <v>10</v>
      </c>
      <c r="B95">
        <v>1</v>
      </c>
      <c r="C95">
        <v>0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13</v>
      </c>
      <c r="N95">
        <v>967</v>
      </c>
      <c r="O95">
        <v>10</v>
      </c>
    </row>
    <row r="96" spans="1:15" x14ac:dyDescent="0.3">
      <c r="A96">
        <v>11</v>
      </c>
      <c r="B96">
        <v>1</v>
      </c>
      <c r="C96">
        <v>0</v>
      </c>
      <c r="D96">
        <v>1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13</v>
      </c>
      <c r="N96">
        <v>1005</v>
      </c>
      <c r="O96">
        <v>10</v>
      </c>
    </row>
    <row r="97" spans="1:15" x14ac:dyDescent="0.3">
      <c r="A97">
        <v>12</v>
      </c>
      <c r="B97">
        <v>1</v>
      </c>
      <c r="C97">
        <v>0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0</v>
      </c>
      <c r="K97">
        <v>0</v>
      </c>
      <c r="L97">
        <v>1</v>
      </c>
      <c r="M97">
        <v>13</v>
      </c>
      <c r="N97">
        <v>497</v>
      </c>
      <c r="O97">
        <v>5</v>
      </c>
    </row>
    <row r="98" spans="1:15" x14ac:dyDescent="0.3">
      <c r="A98">
        <v>13</v>
      </c>
      <c r="B98">
        <v>1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13</v>
      </c>
      <c r="N98">
        <v>594.5</v>
      </c>
      <c r="O98">
        <v>30</v>
      </c>
    </row>
    <row r="99" spans="1:15" x14ac:dyDescent="0.3">
      <c r="A99">
        <v>14</v>
      </c>
      <c r="B99">
        <v>1</v>
      </c>
      <c r="C99">
        <v>1</v>
      </c>
      <c r="D99">
        <v>0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13</v>
      </c>
      <c r="N99">
        <v>1088</v>
      </c>
      <c r="O99">
        <v>10</v>
      </c>
    </row>
    <row r="100" spans="1:15" x14ac:dyDescent="0.3">
      <c r="A100">
        <v>15</v>
      </c>
      <c r="B100">
        <v>1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13</v>
      </c>
      <c r="N100">
        <v>975</v>
      </c>
      <c r="O100">
        <v>20</v>
      </c>
    </row>
    <row r="101" spans="1:15" x14ac:dyDescent="0.3">
      <c r="A101">
        <v>16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13</v>
      </c>
      <c r="N101">
        <v>745</v>
      </c>
      <c r="O101">
        <v>20</v>
      </c>
    </row>
    <row r="102" spans="1:15" x14ac:dyDescent="0.3">
      <c r="A102">
        <v>17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13</v>
      </c>
      <c r="N102">
        <v>809</v>
      </c>
      <c r="O102">
        <v>20</v>
      </c>
    </row>
    <row r="103" spans="1:15" x14ac:dyDescent="0.3">
      <c r="A103">
        <v>18</v>
      </c>
      <c r="B103">
        <v>2</v>
      </c>
      <c r="C103">
        <v>2</v>
      </c>
      <c r="D103">
        <v>2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13</v>
      </c>
      <c r="N103">
        <v>808</v>
      </c>
      <c r="O103" s="42">
        <v>40</v>
      </c>
    </row>
    <row r="104" spans="1:15" x14ac:dyDescent="0.3">
      <c r="A104">
        <v>19</v>
      </c>
      <c r="B104">
        <v>2</v>
      </c>
      <c r="C104">
        <v>2</v>
      </c>
      <c r="D104">
        <v>2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13</v>
      </c>
      <c r="N104">
        <v>673</v>
      </c>
      <c r="O104" s="42">
        <v>70</v>
      </c>
    </row>
    <row r="105" spans="1:15" x14ac:dyDescent="0.3">
      <c r="A105">
        <v>20</v>
      </c>
      <c r="B105">
        <v>2</v>
      </c>
      <c r="C105">
        <v>2</v>
      </c>
      <c r="D105">
        <v>2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13</v>
      </c>
      <c r="N105">
        <v>783</v>
      </c>
      <c r="O105" s="42">
        <v>100</v>
      </c>
    </row>
    <row r="106" spans="1:15" x14ac:dyDescent="0.3">
      <c r="A106">
        <v>21</v>
      </c>
      <c r="B106">
        <v>2</v>
      </c>
      <c r="C106">
        <v>2</v>
      </c>
      <c r="D106">
        <v>2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13</v>
      </c>
      <c r="N106">
        <v>720</v>
      </c>
      <c r="O106" s="42">
        <v>70</v>
      </c>
    </row>
    <row r="107" spans="1:15" x14ac:dyDescent="0.3">
      <c r="A107">
        <v>22</v>
      </c>
      <c r="B107">
        <v>2</v>
      </c>
      <c r="C107">
        <v>2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13</v>
      </c>
      <c r="N107">
        <v>857</v>
      </c>
      <c r="O107" s="42">
        <v>80</v>
      </c>
    </row>
    <row r="108" spans="1:15" x14ac:dyDescent="0.3">
      <c r="A108">
        <v>23</v>
      </c>
      <c r="B108">
        <v>2</v>
      </c>
      <c r="C108">
        <v>2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13</v>
      </c>
      <c r="N108">
        <v>854</v>
      </c>
      <c r="O108">
        <v>120</v>
      </c>
    </row>
    <row r="109" spans="1:15" x14ac:dyDescent="0.3">
      <c r="A109">
        <v>24</v>
      </c>
      <c r="B109">
        <v>1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13</v>
      </c>
      <c r="N109">
        <v>706</v>
      </c>
      <c r="O109">
        <v>55</v>
      </c>
    </row>
    <row r="110" spans="1:15" x14ac:dyDescent="0.3">
      <c r="A110">
        <v>25</v>
      </c>
      <c r="B110">
        <v>2</v>
      </c>
      <c r="C110">
        <v>2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13</v>
      </c>
      <c r="N110">
        <v>789</v>
      </c>
      <c r="O110">
        <v>50</v>
      </c>
    </row>
    <row r="111" spans="1:15" x14ac:dyDescent="0.3">
      <c r="A111">
        <v>26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13</v>
      </c>
      <c r="N111">
        <v>745</v>
      </c>
      <c r="O111">
        <v>40</v>
      </c>
    </row>
    <row r="112" spans="1:15" x14ac:dyDescent="0.3">
      <c r="A112">
        <v>27</v>
      </c>
      <c r="B112">
        <v>2</v>
      </c>
      <c r="C112">
        <v>2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13</v>
      </c>
      <c r="N112">
        <v>820</v>
      </c>
      <c r="O112">
        <v>60</v>
      </c>
    </row>
    <row r="113" spans="1:15" x14ac:dyDescent="0.3">
      <c r="A113">
        <v>28</v>
      </c>
      <c r="B113">
        <v>1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13</v>
      </c>
      <c r="N113">
        <v>892</v>
      </c>
      <c r="O113">
        <v>30</v>
      </c>
    </row>
    <row r="114" spans="1:15" x14ac:dyDescent="0.3">
      <c r="A114">
        <v>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13</v>
      </c>
      <c r="N114">
        <v>596</v>
      </c>
      <c r="O114">
        <v>2</v>
      </c>
    </row>
    <row r="115" spans="1:15" x14ac:dyDescent="0.3">
      <c r="A115">
        <v>2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13</v>
      </c>
      <c r="N115">
        <v>499</v>
      </c>
      <c r="O115">
        <v>5</v>
      </c>
    </row>
    <row r="116" spans="1:15" x14ac:dyDescent="0.3">
      <c r="A116">
        <v>3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1</v>
      </c>
      <c r="M116">
        <v>13</v>
      </c>
      <c r="N116">
        <v>458.5</v>
      </c>
      <c r="O116">
        <v>5</v>
      </c>
    </row>
    <row r="117" spans="1:15" x14ac:dyDescent="0.3">
      <c r="A117">
        <v>4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13</v>
      </c>
      <c r="N117">
        <v>572</v>
      </c>
      <c r="O117">
        <v>10</v>
      </c>
    </row>
    <row r="118" spans="1:15" x14ac:dyDescent="0.3">
      <c r="A118">
        <v>5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13</v>
      </c>
      <c r="N118">
        <v>531</v>
      </c>
      <c r="O118">
        <v>10</v>
      </c>
    </row>
    <row r="119" spans="1:15" x14ac:dyDescent="0.3">
      <c r="A119">
        <v>6</v>
      </c>
      <c r="B119">
        <v>0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13</v>
      </c>
      <c r="N119">
        <v>723</v>
      </c>
      <c r="O119">
        <v>40</v>
      </c>
    </row>
    <row r="120" spans="1:15" x14ac:dyDescent="0.3">
      <c r="A120">
        <v>7</v>
      </c>
      <c r="B120">
        <v>0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13</v>
      </c>
      <c r="N120">
        <v>495</v>
      </c>
      <c r="O120">
        <v>20</v>
      </c>
    </row>
    <row r="121" spans="1:15" x14ac:dyDescent="0.3">
      <c r="A121">
        <v>8</v>
      </c>
      <c r="B121">
        <v>0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1</v>
      </c>
      <c r="M121">
        <v>13</v>
      </c>
      <c r="N121">
        <v>632</v>
      </c>
      <c r="O121">
        <v>10</v>
      </c>
    </row>
    <row r="122" spans="1:15" x14ac:dyDescent="0.3">
      <c r="A122">
        <v>9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13</v>
      </c>
      <c r="N122">
        <v>641</v>
      </c>
      <c r="O122">
        <v>2</v>
      </c>
    </row>
    <row r="123" spans="1:15" x14ac:dyDescent="0.3">
      <c r="A123">
        <v>10</v>
      </c>
      <c r="B123">
        <v>1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13</v>
      </c>
      <c r="N123">
        <v>943.5</v>
      </c>
      <c r="O123">
        <v>5</v>
      </c>
    </row>
    <row r="124" spans="1:15" x14ac:dyDescent="0.3">
      <c r="A124">
        <v>11</v>
      </c>
      <c r="B124">
        <v>1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13</v>
      </c>
      <c r="N124">
        <v>991</v>
      </c>
      <c r="O124">
        <v>5</v>
      </c>
    </row>
    <row r="125" spans="1:15" x14ac:dyDescent="0.3">
      <c r="A125">
        <v>12</v>
      </c>
      <c r="B125">
        <v>1</v>
      </c>
      <c r="C125">
        <v>0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1</v>
      </c>
      <c r="M125">
        <v>13</v>
      </c>
      <c r="N125">
        <v>528</v>
      </c>
      <c r="O125">
        <v>5</v>
      </c>
    </row>
    <row r="126" spans="1:15" x14ac:dyDescent="0.3">
      <c r="A126">
        <v>13</v>
      </c>
      <c r="B126">
        <v>1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13</v>
      </c>
      <c r="N126">
        <v>622</v>
      </c>
      <c r="O126">
        <v>40</v>
      </c>
    </row>
    <row r="127" spans="1:15" x14ac:dyDescent="0.3">
      <c r="A127">
        <v>14</v>
      </c>
      <c r="B127">
        <v>1</v>
      </c>
      <c r="C127">
        <v>1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13</v>
      </c>
      <c r="N127">
        <v>1086</v>
      </c>
      <c r="O127">
        <v>10</v>
      </c>
    </row>
    <row r="128" spans="1:15" x14ac:dyDescent="0.3">
      <c r="A128">
        <v>15</v>
      </c>
      <c r="B128">
        <v>1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1</v>
      </c>
      <c r="M128">
        <v>13</v>
      </c>
      <c r="N128">
        <v>1004</v>
      </c>
      <c r="O128">
        <v>15</v>
      </c>
    </row>
    <row r="129" spans="1:15" x14ac:dyDescent="0.3">
      <c r="A129">
        <v>16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13</v>
      </c>
      <c r="N129">
        <v>746</v>
      </c>
      <c r="O129">
        <v>10</v>
      </c>
    </row>
    <row r="130" spans="1:15" x14ac:dyDescent="0.3">
      <c r="A130">
        <v>17</v>
      </c>
      <c r="B130">
        <v>1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13</v>
      </c>
      <c r="N130">
        <v>744</v>
      </c>
      <c r="O130">
        <v>40</v>
      </c>
    </row>
    <row r="131" spans="1:15" x14ac:dyDescent="0.3">
      <c r="A131">
        <v>18</v>
      </c>
      <c r="B131">
        <v>2</v>
      </c>
      <c r="C131">
        <v>2</v>
      </c>
      <c r="D131">
        <v>2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13</v>
      </c>
      <c r="N131">
        <v>804</v>
      </c>
      <c r="O131" s="42">
        <v>30</v>
      </c>
    </row>
    <row r="132" spans="1:15" x14ac:dyDescent="0.3">
      <c r="A132">
        <v>19</v>
      </c>
      <c r="B132">
        <v>2</v>
      </c>
      <c r="C132">
        <v>2</v>
      </c>
      <c r="D132">
        <v>2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</v>
      </c>
      <c r="M132">
        <v>13</v>
      </c>
      <c r="N132">
        <v>683</v>
      </c>
      <c r="O132" s="42">
        <v>50</v>
      </c>
    </row>
    <row r="133" spans="1:15" x14ac:dyDescent="0.3">
      <c r="A133">
        <v>20</v>
      </c>
      <c r="B133">
        <v>2</v>
      </c>
      <c r="C133">
        <v>2</v>
      </c>
      <c r="D133">
        <v>2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13</v>
      </c>
      <c r="N133">
        <v>793</v>
      </c>
      <c r="O133" s="42">
        <v>50</v>
      </c>
    </row>
    <row r="134" spans="1:15" x14ac:dyDescent="0.3">
      <c r="A134">
        <v>21</v>
      </c>
      <c r="B134">
        <v>2</v>
      </c>
      <c r="C134">
        <v>2</v>
      </c>
      <c r="D134">
        <v>2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13</v>
      </c>
      <c r="N134">
        <v>704</v>
      </c>
      <c r="O134" s="42">
        <v>50</v>
      </c>
    </row>
    <row r="135" spans="1:15" x14ac:dyDescent="0.3">
      <c r="A135">
        <v>22</v>
      </c>
      <c r="B135">
        <v>2</v>
      </c>
      <c r="C135">
        <v>2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13</v>
      </c>
      <c r="N135">
        <v>860</v>
      </c>
      <c r="O135" s="42">
        <v>60</v>
      </c>
    </row>
    <row r="136" spans="1:15" x14ac:dyDescent="0.3">
      <c r="A136">
        <v>23</v>
      </c>
      <c r="B136">
        <v>2</v>
      </c>
      <c r="C136">
        <v>2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1</v>
      </c>
      <c r="M136">
        <v>13</v>
      </c>
      <c r="N136">
        <v>811</v>
      </c>
      <c r="O136">
        <v>154</v>
      </c>
    </row>
    <row r="137" spans="1:15" x14ac:dyDescent="0.3">
      <c r="A137">
        <v>24</v>
      </c>
      <c r="B137">
        <v>1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1</v>
      </c>
      <c r="M137">
        <v>13</v>
      </c>
      <c r="N137">
        <v>700</v>
      </c>
      <c r="O137">
        <v>30</v>
      </c>
    </row>
    <row r="138" spans="1:15" x14ac:dyDescent="0.3">
      <c r="A138">
        <v>25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13</v>
      </c>
      <c r="N138">
        <v>775</v>
      </c>
      <c r="O138">
        <v>100</v>
      </c>
    </row>
    <row r="139" spans="1:15" x14ac:dyDescent="0.3">
      <c r="A139">
        <v>26</v>
      </c>
      <c r="B139">
        <v>1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13</v>
      </c>
      <c r="N139">
        <v>830</v>
      </c>
      <c r="O139">
        <v>40</v>
      </c>
    </row>
    <row r="140" spans="1:15" x14ac:dyDescent="0.3">
      <c r="A140">
        <v>27</v>
      </c>
      <c r="B140">
        <v>2</v>
      </c>
      <c r="C140">
        <v>2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13</v>
      </c>
      <c r="N140">
        <v>830</v>
      </c>
      <c r="O140">
        <v>70</v>
      </c>
    </row>
    <row r="141" spans="1:15" x14ac:dyDescent="0.3">
      <c r="A141">
        <v>28</v>
      </c>
      <c r="B141">
        <v>1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13</v>
      </c>
      <c r="N141">
        <v>920</v>
      </c>
      <c r="O141">
        <v>35</v>
      </c>
    </row>
    <row r="142" spans="1:15" x14ac:dyDescent="0.3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13</v>
      </c>
      <c r="N142">
        <v>562.20000000000005</v>
      </c>
      <c r="O142">
        <v>2</v>
      </c>
    </row>
    <row r="143" spans="1:15" x14ac:dyDescent="0.3">
      <c r="A143">
        <v>2</v>
      </c>
      <c r="B143">
        <v>0</v>
      </c>
      <c r="C143">
        <v>0</v>
      </c>
      <c r="D143">
        <v>0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2</v>
      </c>
      <c r="M143">
        <v>13</v>
      </c>
      <c r="N143">
        <v>481.5</v>
      </c>
      <c r="O143">
        <v>5</v>
      </c>
    </row>
    <row r="144" spans="1:15" x14ac:dyDescent="0.3">
      <c r="A144">
        <v>3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2</v>
      </c>
      <c r="M144">
        <v>13</v>
      </c>
      <c r="N144">
        <v>531</v>
      </c>
      <c r="O144">
        <v>5</v>
      </c>
    </row>
    <row r="145" spans="1:15" x14ac:dyDescent="0.3">
      <c r="A145">
        <v>4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2</v>
      </c>
      <c r="M145">
        <v>13</v>
      </c>
      <c r="N145">
        <v>508</v>
      </c>
      <c r="O145">
        <v>5</v>
      </c>
    </row>
    <row r="146" spans="1:15" x14ac:dyDescent="0.3">
      <c r="A146">
        <v>5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2</v>
      </c>
      <c r="M146">
        <v>13</v>
      </c>
      <c r="N146">
        <v>463</v>
      </c>
      <c r="O146">
        <v>10</v>
      </c>
    </row>
    <row r="147" spans="1:15" x14ac:dyDescent="0.3">
      <c r="A147">
        <v>6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13</v>
      </c>
      <c r="N147">
        <v>570.5</v>
      </c>
      <c r="O147">
        <v>10</v>
      </c>
    </row>
    <row r="148" spans="1:15" x14ac:dyDescent="0.3">
      <c r="A148">
        <v>7</v>
      </c>
      <c r="B148">
        <v>0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2</v>
      </c>
      <c r="M148">
        <v>13</v>
      </c>
      <c r="N148">
        <v>523</v>
      </c>
      <c r="O148">
        <v>20</v>
      </c>
    </row>
    <row r="149" spans="1:15" x14ac:dyDescent="0.3">
      <c r="A149">
        <v>8</v>
      </c>
      <c r="B149">
        <v>0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2</v>
      </c>
      <c r="M149">
        <v>13</v>
      </c>
      <c r="N149">
        <v>577</v>
      </c>
      <c r="O149">
        <v>5</v>
      </c>
    </row>
    <row r="150" spans="1:15" x14ac:dyDescent="0.3">
      <c r="A150">
        <v>9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2</v>
      </c>
      <c r="M150">
        <v>13</v>
      </c>
      <c r="N150">
        <v>611</v>
      </c>
      <c r="O150">
        <v>2</v>
      </c>
    </row>
    <row r="151" spans="1:15" x14ac:dyDescent="0.3">
      <c r="A151">
        <v>10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13</v>
      </c>
      <c r="N151">
        <v>578</v>
      </c>
      <c r="O151">
        <v>5</v>
      </c>
    </row>
    <row r="152" spans="1:15" x14ac:dyDescent="0.3">
      <c r="A152">
        <v>11</v>
      </c>
      <c r="B152">
        <v>1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2</v>
      </c>
      <c r="M152">
        <v>13</v>
      </c>
      <c r="N152">
        <v>810</v>
      </c>
      <c r="O152">
        <v>5</v>
      </c>
    </row>
    <row r="153" spans="1:15" x14ac:dyDescent="0.3">
      <c r="A153">
        <v>12</v>
      </c>
      <c r="B153">
        <v>1</v>
      </c>
      <c r="C153">
        <v>0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2</v>
      </c>
      <c r="M153">
        <v>13</v>
      </c>
      <c r="N153">
        <v>475</v>
      </c>
      <c r="O153">
        <v>5</v>
      </c>
    </row>
    <row r="154" spans="1:15" x14ac:dyDescent="0.3">
      <c r="A154">
        <v>13</v>
      </c>
      <c r="B154">
        <v>1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13</v>
      </c>
      <c r="N154">
        <v>549</v>
      </c>
      <c r="O154">
        <v>10</v>
      </c>
    </row>
    <row r="155" spans="1:15" x14ac:dyDescent="0.3">
      <c r="A155">
        <v>14</v>
      </c>
      <c r="B155">
        <v>1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2</v>
      </c>
      <c r="M155">
        <v>13</v>
      </c>
      <c r="N155">
        <v>614</v>
      </c>
      <c r="O155">
        <v>10</v>
      </c>
    </row>
    <row r="156" spans="1:15" x14ac:dyDescent="0.3">
      <c r="A156">
        <v>15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0</v>
      </c>
      <c r="L156">
        <v>2</v>
      </c>
      <c r="M156">
        <v>13</v>
      </c>
      <c r="N156">
        <v>635</v>
      </c>
      <c r="O156">
        <v>10</v>
      </c>
    </row>
    <row r="157" spans="1:15" x14ac:dyDescent="0.3">
      <c r="A157">
        <v>16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2</v>
      </c>
      <c r="M157">
        <v>13</v>
      </c>
      <c r="N157">
        <v>554</v>
      </c>
      <c r="O157">
        <v>5</v>
      </c>
    </row>
    <row r="158" spans="1:15" x14ac:dyDescent="0.3">
      <c r="A158">
        <v>17</v>
      </c>
      <c r="B158">
        <v>1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2</v>
      </c>
      <c r="M158">
        <v>13</v>
      </c>
      <c r="N158">
        <v>628</v>
      </c>
      <c r="O158">
        <v>20</v>
      </c>
    </row>
    <row r="159" spans="1:15" x14ac:dyDescent="0.3">
      <c r="A159">
        <v>18</v>
      </c>
      <c r="B159">
        <v>2</v>
      </c>
      <c r="C159">
        <v>2</v>
      </c>
      <c r="D159">
        <v>2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2</v>
      </c>
      <c r="M159">
        <v>13</v>
      </c>
      <c r="N159">
        <v>732</v>
      </c>
      <c r="O159" s="42">
        <v>20</v>
      </c>
    </row>
    <row r="160" spans="1:15" x14ac:dyDescent="0.3">
      <c r="A160">
        <v>19</v>
      </c>
      <c r="B160">
        <v>2</v>
      </c>
      <c r="C160">
        <v>2</v>
      </c>
      <c r="D160">
        <v>2</v>
      </c>
      <c r="E160">
        <v>0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2</v>
      </c>
      <c r="M160">
        <v>13</v>
      </c>
      <c r="N160">
        <v>617</v>
      </c>
      <c r="O160" s="42">
        <v>50</v>
      </c>
    </row>
    <row r="161" spans="1:15" x14ac:dyDescent="0.3">
      <c r="A161">
        <v>20</v>
      </c>
      <c r="B161">
        <v>2</v>
      </c>
      <c r="C161">
        <v>2</v>
      </c>
      <c r="D161">
        <v>2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13</v>
      </c>
      <c r="N161">
        <v>719</v>
      </c>
      <c r="O161" s="42">
        <v>40</v>
      </c>
    </row>
    <row r="162" spans="1:15" x14ac:dyDescent="0.3">
      <c r="A162">
        <v>21</v>
      </c>
      <c r="B162">
        <v>2</v>
      </c>
      <c r="C162">
        <v>2</v>
      </c>
      <c r="D162">
        <v>2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13</v>
      </c>
      <c r="N162">
        <v>600</v>
      </c>
      <c r="O162" s="42">
        <v>30</v>
      </c>
    </row>
    <row r="163" spans="1:15" x14ac:dyDescent="0.3">
      <c r="A163">
        <v>22</v>
      </c>
      <c r="B163">
        <v>2</v>
      </c>
      <c r="C163">
        <v>2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13</v>
      </c>
      <c r="N163">
        <v>740</v>
      </c>
      <c r="O163" s="42">
        <v>45</v>
      </c>
    </row>
    <row r="164" spans="1:15" x14ac:dyDescent="0.3">
      <c r="A164">
        <v>23</v>
      </c>
      <c r="B164">
        <v>2</v>
      </c>
      <c r="C164">
        <v>2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2</v>
      </c>
      <c r="M164">
        <v>13</v>
      </c>
      <c r="N164">
        <v>765</v>
      </c>
      <c r="O164">
        <v>80</v>
      </c>
    </row>
    <row r="165" spans="1:15" x14ac:dyDescent="0.3">
      <c r="A165">
        <v>24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2</v>
      </c>
      <c r="M165">
        <v>13</v>
      </c>
      <c r="N165">
        <v>500</v>
      </c>
      <c r="O165">
        <v>20</v>
      </c>
    </row>
    <row r="166" spans="1:15" x14ac:dyDescent="0.3">
      <c r="A166">
        <v>25</v>
      </c>
      <c r="B166">
        <v>2</v>
      </c>
      <c r="C166">
        <v>2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2</v>
      </c>
      <c r="M166">
        <v>13</v>
      </c>
      <c r="N166">
        <v>900</v>
      </c>
      <c r="O166">
        <v>60</v>
      </c>
    </row>
    <row r="167" spans="1:15" x14ac:dyDescent="0.3">
      <c r="A167">
        <v>26</v>
      </c>
      <c r="B167">
        <v>1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2</v>
      </c>
      <c r="M167">
        <v>13</v>
      </c>
      <c r="N167">
        <v>740</v>
      </c>
      <c r="O167">
        <v>20</v>
      </c>
    </row>
    <row r="168" spans="1:15" x14ac:dyDescent="0.3">
      <c r="A168">
        <v>27</v>
      </c>
      <c r="B168">
        <v>2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2</v>
      </c>
      <c r="M168">
        <v>13</v>
      </c>
      <c r="N168">
        <v>872</v>
      </c>
      <c r="O168">
        <v>30</v>
      </c>
    </row>
    <row r="169" spans="1:15" x14ac:dyDescent="0.3">
      <c r="A169">
        <v>28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2</v>
      </c>
      <c r="M169">
        <v>13</v>
      </c>
      <c r="N169">
        <v>572</v>
      </c>
      <c r="O169">
        <v>30</v>
      </c>
    </row>
    <row r="170" spans="1:15" x14ac:dyDescent="0.3">
      <c r="A170">
        <v>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</v>
      </c>
      <c r="M170">
        <v>13</v>
      </c>
      <c r="N170">
        <v>500</v>
      </c>
      <c r="O170">
        <v>2</v>
      </c>
    </row>
    <row r="171" spans="1:15" x14ac:dyDescent="0.3">
      <c r="A171">
        <v>2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2</v>
      </c>
      <c r="M171">
        <v>13</v>
      </c>
      <c r="N171">
        <v>489</v>
      </c>
      <c r="O171">
        <v>5</v>
      </c>
    </row>
    <row r="172" spans="1:15" x14ac:dyDescent="0.3">
      <c r="A172">
        <v>3</v>
      </c>
      <c r="B172">
        <v>0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2</v>
      </c>
      <c r="M172">
        <v>13</v>
      </c>
      <c r="N172">
        <v>484</v>
      </c>
      <c r="O172">
        <v>2</v>
      </c>
    </row>
    <row r="173" spans="1:15" x14ac:dyDescent="0.3">
      <c r="A173">
        <v>4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2</v>
      </c>
      <c r="M173">
        <v>13</v>
      </c>
      <c r="N173">
        <v>503.5</v>
      </c>
      <c r="O173">
        <v>2</v>
      </c>
    </row>
    <row r="174" spans="1:15" x14ac:dyDescent="0.3">
      <c r="A174">
        <v>5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2</v>
      </c>
      <c r="M174">
        <v>13</v>
      </c>
      <c r="N174">
        <v>431</v>
      </c>
      <c r="O174">
        <v>5</v>
      </c>
    </row>
    <row r="175" spans="1:15" x14ac:dyDescent="0.3">
      <c r="A175">
        <v>6</v>
      </c>
      <c r="B175">
        <v>0</v>
      </c>
      <c r="C175">
        <v>1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13</v>
      </c>
      <c r="N175">
        <v>583</v>
      </c>
      <c r="O175">
        <v>10</v>
      </c>
    </row>
    <row r="176" spans="1:15" x14ac:dyDescent="0.3">
      <c r="A176">
        <v>7</v>
      </c>
      <c r="B176">
        <v>0</v>
      </c>
      <c r="C176">
        <v>1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2</v>
      </c>
      <c r="M176">
        <v>13</v>
      </c>
      <c r="N176">
        <v>501</v>
      </c>
      <c r="O176">
        <v>10</v>
      </c>
    </row>
    <row r="177" spans="1:15" x14ac:dyDescent="0.3">
      <c r="A177">
        <v>8</v>
      </c>
      <c r="B177">
        <v>0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2</v>
      </c>
      <c r="M177">
        <v>13</v>
      </c>
      <c r="N177">
        <v>577.5</v>
      </c>
      <c r="O177">
        <v>5</v>
      </c>
    </row>
    <row r="178" spans="1:15" x14ac:dyDescent="0.3">
      <c r="A178">
        <v>9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2</v>
      </c>
      <c r="M178">
        <v>13</v>
      </c>
      <c r="N178">
        <v>520</v>
      </c>
      <c r="O178">
        <v>2</v>
      </c>
    </row>
    <row r="179" spans="1:15" x14ac:dyDescent="0.3">
      <c r="A179">
        <v>10</v>
      </c>
      <c r="B179">
        <v>1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13</v>
      </c>
      <c r="N179">
        <v>572</v>
      </c>
      <c r="O179">
        <v>2</v>
      </c>
    </row>
    <row r="180" spans="1:15" x14ac:dyDescent="0.3">
      <c r="A180">
        <v>11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2</v>
      </c>
      <c r="M180">
        <v>13</v>
      </c>
      <c r="N180">
        <v>623</v>
      </c>
      <c r="O180">
        <v>5</v>
      </c>
    </row>
    <row r="181" spans="1:15" x14ac:dyDescent="0.3">
      <c r="A181">
        <v>12</v>
      </c>
      <c r="B181">
        <v>1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2</v>
      </c>
      <c r="M181">
        <v>13</v>
      </c>
      <c r="N181">
        <v>467</v>
      </c>
      <c r="O181">
        <v>2</v>
      </c>
    </row>
    <row r="182" spans="1:15" x14ac:dyDescent="0.3">
      <c r="A182">
        <v>13</v>
      </c>
      <c r="B182">
        <v>1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</v>
      </c>
      <c r="M182">
        <v>13</v>
      </c>
      <c r="N182">
        <v>553</v>
      </c>
      <c r="O182">
        <v>10</v>
      </c>
    </row>
    <row r="183" spans="1:15" x14ac:dyDescent="0.3">
      <c r="A183">
        <v>14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13</v>
      </c>
      <c r="N183">
        <v>369</v>
      </c>
      <c r="O183">
        <v>6</v>
      </c>
    </row>
    <row r="184" spans="1:15" x14ac:dyDescent="0.3">
      <c r="A184">
        <v>15</v>
      </c>
      <c r="B184">
        <v>1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0</v>
      </c>
      <c r="K184">
        <v>0</v>
      </c>
      <c r="L184">
        <v>2</v>
      </c>
      <c r="M184">
        <v>13</v>
      </c>
      <c r="N184">
        <v>603.5</v>
      </c>
      <c r="O184">
        <v>6</v>
      </c>
    </row>
    <row r="185" spans="1:15" x14ac:dyDescent="0.3">
      <c r="A185">
        <v>16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2</v>
      </c>
      <c r="M185">
        <v>13</v>
      </c>
      <c r="N185">
        <v>562</v>
      </c>
      <c r="O185">
        <v>10</v>
      </c>
    </row>
    <row r="186" spans="1:15" x14ac:dyDescent="0.3">
      <c r="A186">
        <v>17</v>
      </c>
      <c r="B186">
        <v>1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2</v>
      </c>
      <c r="M186">
        <v>13</v>
      </c>
      <c r="N186">
        <v>549</v>
      </c>
      <c r="O186">
        <v>40</v>
      </c>
    </row>
    <row r="187" spans="1:15" x14ac:dyDescent="0.3">
      <c r="A187">
        <v>18</v>
      </c>
      <c r="B187">
        <v>2</v>
      </c>
      <c r="C187">
        <v>2</v>
      </c>
      <c r="D187">
        <v>2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2</v>
      </c>
      <c r="M187">
        <v>13</v>
      </c>
      <c r="N187">
        <v>733</v>
      </c>
      <c r="O187" s="42">
        <v>20</v>
      </c>
    </row>
    <row r="188" spans="1:15" x14ac:dyDescent="0.3">
      <c r="A188">
        <v>19</v>
      </c>
      <c r="B188">
        <v>2</v>
      </c>
      <c r="C188">
        <v>2</v>
      </c>
      <c r="D188">
        <v>2</v>
      </c>
      <c r="E188">
        <v>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2</v>
      </c>
      <c r="M188">
        <v>13</v>
      </c>
      <c r="N188">
        <v>650</v>
      </c>
      <c r="O188" s="42">
        <v>30</v>
      </c>
    </row>
    <row r="189" spans="1:15" x14ac:dyDescent="0.3">
      <c r="A189">
        <v>20</v>
      </c>
      <c r="B189">
        <v>2</v>
      </c>
      <c r="C189">
        <v>2</v>
      </c>
      <c r="D189">
        <v>2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13</v>
      </c>
      <c r="N189">
        <v>716</v>
      </c>
      <c r="O189" s="42">
        <v>30</v>
      </c>
    </row>
    <row r="190" spans="1:15" x14ac:dyDescent="0.3">
      <c r="A190">
        <v>21</v>
      </c>
      <c r="B190">
        <v>2</v>
      </c>
      <c r="C190">
        <v>2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</v>
      </c>
      <c r="M190">
        <v>13</v>
      </c>
      <c r="N190">
        <v>671</v>
      </c>
      <c r="O190" s="42">
        <v>20</v>
      </c>
    </row>
    <row r="191" spans="1:15" x14ac:dyDescent="0.3">
      <c r="A191">
        <v>22</v>
      </c>
      <c r="B191">
        <v>2</v>
      </c>
      <c r="C191">
        <v>2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13</v>
      </c>
      <c r="N191">
        <v>764</v>
      </c>
      <c r="O191" s="42">
        <v>30</v>
      </c>
    </row>
    <row r="192" spans="1:15" x14ac:dyDescent="0.3">
      <c r="A192">
        <v>23</v>
      </c>
      <c r="B192">
        <v>2</v>
      </c>
      <c r="C192">
        <v>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2</v>
      </c>
      <c r="M192">
        <v>13</v>
      </c>
      <c r="N192">
        <v>713</v>
      </c>
      <c r="O192">
        <v>70</v>
      </c>
    </row>
    <row r="193" spans="1:15" x14ac:dyDescent="0.3">
      <c r="A193">
        <v>24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2</v>
      </c>
      <c r="M193">
        <v>13</v>
      </c>
      <c r="N193">
        <v>505</v>
      </c>
      <c r="O193">
        <v>5</v>
      </c>
    </row>
    <row r="194" spans="1:15" x14ac:dyDescent="0.3">
      <c r="A194">
        <v>25</v>
      </c>
      <c r="B194">
        <v>2</v>
      </c>
      <c r="C194">
        <v>2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2</v>
      </c>
      <c r="M194">
        <v>13</v>
      </c>
      <c r="N194">
        <v>918</v>
      </c>
      <c r="O194">
        <v>60</v>
      </c>
    </row>
    <row r="195" spans="1:15" x14ac:dyDescent="0.3">
      <c r="A195">
        <v>26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1</v>
      </c>
      <c r="L195">
        <v>2</v>
      </c>
      <c r="M195">
        <v>13</v>
      </c>
      <c r="N195">
        <v>680</v>
      </c>
      <c r="O195">
        <v>20</v>
      </c>
    </row>
    <row r="196" spans="1:15" x14ac:dyDescent="0.3">
      <c r="A196">
        <v>27</v>
      </c>
      <c r="B196">
        <v>2</v>
      </c>
      <c r="C196">
        <v>2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2</v>
      </c>
      <c r="M196">
        <v>13</v>
      </c>
      <c r="N196">
        <v>818</v>
      </c>
      <c r="O196">
        <v>10</v>
      </c>
    </row>
    <row r="197" spans="1:15" x14ac:dyDescent="0.3">
      <c r="A197">
        <v>28</v>
      </c>
      <c r="B197">
        <v>1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2</v>
      </c>
      <c r="M197">
        <v>13</v>
      </c>
      <c r="N197">
        <v>505</v>
      </c>
      <c r="O197">
        <v>20</v>
      </c>
    </row>
    <row r="198" spans="1:15" x14ac:dyDescent="0.3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13</v>
      </c>
      <c r="N198">
        <v>526.5</v>
      </c>
      <c r="O198">
        <v>2</v>
      </c>
    </row>
    <row r="199" spans="1:15" x14ac:dyDescent="0.3">
      <c r="A199">
        <v>2</v>
      </c>
      <c r="B199">
        <v>0</v>
      </c>
      <c r="C199">
        <v>0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3</v>
      </c>
      <c r="M199">
        <v>13</v>
      </c>
      <c r="N199">
        <v>343</v>
      </c>
      <c r="O199">
        <v>2</v>
      </c>
    </row>
    <row r="200" spans="1:15" x14ac:dyDescent="0.3">
      <c r="A200">
        <v>3</v>
      </c>
      <c r="B200">
        <v>0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3</v>
      </c>
      <c r="M200">
        <v>13</v>
      </c>
      <c r="N200">
        <v>495</v>
      </c>
      <c r="O200">
        <v>2</v>
      </c>
    </row>
    <row r="201" spans="1:15" x14ac:dyDescent="0.3">
      <c r="A201">
        <v>4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3</v>
      </c>
      <c r="M201">
        <v>13</v>
      </c>
      <c r="N201">
        <v>489</v>
      </c>
      <c r="O201">
        <v>2</v>
      </c>
    </row>
    <row r="202" spans="1:15" x14ac:dyDescent="0.3">
      <c r="A202">
        <v>5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3</v>
      </c>
      <c r="M202">
        <v>13</v>
      </c>
      <c r="N202">
        <v>382</v>
      </c>
      <c r="O202">
        <v>5</v>
      </c>
    </row>
    <row r="203" spans="1:15" x14ac:dyDescent="0.3">
      <c r="A203">
        <v>6</v>
      </c>
      <c r="B203">
        <v>0</v>
      </c>
      <c r="C203">
        <v>1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13</v>
      </c>
      <c r="N203">
        <v>505</v>
      </c>
      <c r="O203">
        <v>5</v>
      </c>
    </row>
    <row r="204" spans="1:15" x14ac:dyDescent="0.3">
      <c r="A204">
        <v>7</v>
      </c>
      <c r="B204">
        <v>0</v>
      </c>
      <c r="C204">
        <v>1</v>
      </c>
      <c r="D204">
        <v>1</v>
      </c>
      <c r="E204">
        <v>0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3</v>
      </c>
      <c r="M204">
        <v>13</v>
      </c>
      <c r="N204">
        <v>456.5</v>
      </c>
      <c r="O204">
        <v>10</v>
      </c>
    </row>
    <row r="205" spans="1:15" x14ac:dyDescent="0.3">
      <c r="A205">
        <v>8</v>
      </c>
      <c r="B205">
        <v>0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3</v>
      </c>
      <c r="M205">
        <v>13</v>
      </c>
      <c r="N205">
        <v>511.5</v>
      </c>
      <c r="O205">
        <v>2</v>
      </c>
    </row>
    <row r="206" spans="1:15" x14ac:dyDescent="0.3">
      <c r="A206">
        <v>9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3</v>
      </c>
      <c r="M206">
        <v>13</v>
      </c>
      <c r="N206">
        <v>514</v>
      </c>
      <c r="O206">
        <v>2</v>
      </c>
    </row>
    <row r="207" spans="1:15" x14ac:dyDescent="0.3">
      <c r="A207">
        <v>10</v>
      </c>
      <c r="B207">
        <v>1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13</v>
      </c>
      <c r="N207">
        <v>328</v>
      </c>
      <c r="O207">
        <v>2</v>
      </c>
    </row>
    <row r="208" spans="1:15" x14ac:dyDescent="0.3">
      <c r="A208">
        <v>11</v>
      </c>
      <c r="B208">
        <v>1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3</v>
      </c>
      <c r="M208">
        <v>13</v>
      </c>
      <c r="N208">
        <v>596.5</v>
      </c>
      <c r="O208">
        <v>5</v>
      </c>
    </row>
    <row r="209" spans="1:15" x14ac:dyDescent="0.3">
      <c r="A209">
        <v>12</v>
      </c>
      <c r="B209">
        <v>1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3</v>
      </c>
      <c r="M209">
        <v>13</v>
      </c>
      <c r="N209">
        <v>454</v>
      </c>
      <c r="O209">
        <v>5</v>
      </c>
    </row>
    <row r="210" spans="1:15" x14ac:dyDescent="0.3">
      <c r="A210">
        <v>13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13</v>
      </c>
      <c r="N210">
        <v>480</v>
      </c>
      <c r="O210">
        <v>5</v>
      </c>
    </row>
    <row r="211" spans="1:15" x14ac:dyDescent="0.3">
      <c r="A211">
        <v>14</v>
      </c>
      <c r="B211">
        <v>1</v>
      </c>
      <c r="C211">
        <v>1</v>
      </c>
      <c r="D211">
        <v>0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3</v>
      </c>
      <c r="M211">
        <v>13</v>
      </c>
      <c r="N211">
        <v>325</v>
      </c>
      <c r="O211">
        <v>5</v>
      </c>
    </row>
    <row r="212" spans="1:15" x14ac:dyDescent="0.3">
      <c r="A212">
        <v>15</v>
      </c>
      <c r="B212">
        <v>1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3</v>
      </c>
      <c r="M212">
        <v>13</v>
      </c>
      <c r="N212">
        <v>491</v>
      </c>
      <c r="O212">
        <v>5</v>
      </c>
    </row>
    <row r="213" spans="1:15" x14ac:dyDescent="0.3">
      <c r="A213">
        <v>16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3</v>
      </c>
      <c r="M213">
        <v>13</v>
      </c>
      <c r="N213">
        <v>505</v>
      </c>
      <c r="O213">
        <v>5</v>
      </c>
    </row>
    <row r="214" spans="1:15" x14ac:dyDescent="0.3">
      <c r="A214">
        <v>17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3</v>
      </c>
      <c r="M214">
        <v>13</v>
      </c>
      <c r="N214">
        <v>514</v>
      </c>
      <c r="O214">
        <v>25</v>
      </c>
    </row>
    <row r="215" spans="1:15" x14ac:dyDescent="0.3">
      <c r="A215">
        <v>18</v>
      </c>
      <c r="B215">
        <v>2</v>
      </c>
      <c r="C215">
        <v>2</v>
      </c>
      <c r="D215">
        <v>2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3</v>
      </c>
      <c r="M215">
        <v>13</v>
      </c>
      <c r="N215">
        <v>660</v>
      </c>
      <c r="O215" s="42">
        <v>10</v>
      </c>
    </row>
    <row r="216" spans="1:15" x14ac:dyDescent="0.3">
      <c r="A216">
        <v>19</v>
      </c>
      <c r="B216">
        <v>2</v>
      </c>
      <c r="C216">
        <v>2</v>
      </c>
      <c r="D216">
        <v>2</v>
      </c>
      <c r="E216">
        <v>0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3</v>
      </c>
      <c r="M216">
        <v>13</v>
      </c>
      <c r="N216">
        <v>606</v>
      </c>
      <c r="O216" s="42">
        <v>20</v>
      </c>
    </row>
    <row r="217" spans="1:15" x14ac:dyDescent="0.3">
      <c r="A217">
        <v>20</v>
      </c>
      <c r="B217">
        <v>2</v>
      </c>
      <c r="C217">
        <v>2</v>
      </c>
      <c r="D217">
        <v>2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13</v>
      </c>
      <c r="N217">
        <v>601</v>
      </c>
      <c r="O217" s="42">
        <v>10</v>
      </c>
    </row>
    <row r="218" spans="1:15" x14ac:dyDescent="0.3">
      <c r="A218">
        <v>21</v>
      </c>
      <c r="B218">
        <v>2</v>
      </c>
      <c r="C218">
        <v>2</v>
      </c>
      <c r="D218">
        <v>2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13</v>
      </c>
      <c r="N218">
        <v>609</v>
      </c>
      <c r="O218" s="42">
        <v>10</v>
      </c>
    </row>
    <row r="219" spans="1:15" x14ac:dyDescent="0.3">
      <c r="A219">
        <v>22</v>
      </c>
      <c r="B219">
        <v>2</v>
      </c>
      <c r="C219">
        <v>2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13</v>
      </c>
      <c r="N219">
        <v>706</v>
      </c>
      <c r="O219" s="42">
        <v>10</v>
      </c>
    </row>
    <row r="220" spans="1:15" x14ac:dyDescent="0.3">
      <c r="A220">
        <v>23</v>
      </c>
      <c r="B220">
        <v>2</v>
      </c>
      <c r="C220">
        <v>2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3</v>
      </c>
      <c r="M220">
        <v>13</v>
      </c>
      <c r="N220">
        <v>700</v>
      </c>
      <c r="O220">
        <v>10</v>
      </c>
    </row>
    <row r="221" spans="1:15" x14ac:dyDescent="0.3">
      <c r="A221">
        <v>24</v>
      </c>
      <c r="B221">
        <v>1</v>
      </c>
      <c r="C221">
        <v>1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3</v>
      </c>
      <c r="M221">
        <v>13</v>
      </c>
      <c r="N221">
        <v>442</v>
      </c>
      <c r="O221">
        <v>2</v>
      </c>
    </row>
    <row r="222" spans="1:15" x14ac:dyDescent="0.3">
      <c r="A222">
        <v>25</v>
      </c>
      <c r="B222">
        <v>2</v>
      </c>
      <c r="C222">
        <v>2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3</v>
      </c>
      <c r="M222">
        <v>13</v>
      </c>
      <c r="N222">
        <v>875</v>
      </c>
      <c r="O222">
        <v>90</v>
      </c>
    </row>
    <row r="223" spans="1:15" x14ac:dyDescent="0.3">
      <c r="A223">
        <v>26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1</v>
      </c>
      <c r="L223">
        <v>3</v>
      </c>
      <c r="M223">
        <v>13</v>
      </c>
      <c r="N223">
        <v>670</v>
      </c>
      <c r="O223">
        <v>30</v>
      </c>
    </row>
    <row r="224" spans="1:15" x14ac:dyDescent="0.3">
      <c r="A224">
        <v>27</v>
      </c>
      <c r="B224">
        <v>2</v>
      </c>
      <c r="C224">
        <v>2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3</v>
      </c>
      <c r="M224">
        <v>13</v>
      </c>
      <c r="N224">
        <v>875</v>
      </c>
      <c r="O224">
        <v>20</v>
      </c>
    </row>
    <row r="225" spans="1:15" x14ac:dyDescent="0.3">
      <c r="A225">
        <v>28</v>
      </c>
      <c r="B225">
        <v>1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3</v>
      </c>
      <c r="M225">
        <v>13</v>
      </c>
      <c r="N225">
        <v>440</v>
      </c>
      <c r="O225">
        <v>5</v>
      </c>
    </row>
    <row r="226" spans="1:15" x14ac:dyDescent="0.3">
      <c r="A226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13</v>
      </c>
      <c r="N226">
        <v>490</v>
      </c>
      <c r="O226">
        <v>2</v>
      </c>
    </row>
    <row r="227" spans="1:15" x14ac:dyDescent="0.3">
      <c r="A227">
        <v>2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3</v>
      </c>
      <c r="M227">
        <v>13</v>
      </c>
      <c r="N227">
        <v>417</v>
      </c>
      <c r="O227">
        <v>2</v>
      </c>
    </row>
    <row r="228" spans="1:15" x14ac:dyDescent="0.3">
      <c r="A228">
        <v>3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3</v>
      </c>
      <c r="M228">
        <v>13</v>
      </c>
      <c r="N228">
        <v>430</v>
      </c>
      <c r="O228">
        <v>2</v>
      </c>
    </row>
    <row r="229" spans="1:15" x14ac:dyDescent="0.3">
      <c r="A229">
        <v>4</v>
      </c>
      <c r="B229">
        <v>0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3</v>
      </c>
      <c r="M229">
        <v>13</v>
      </c>
      <c r="N229">
        <v>387</v>
      </c>
      <c r="O229">
        <v>2</v>
      </c>
    </row>
    <row r="230" spans="1:15" x14ac:dyDescent="0.3">
      <c r="A230">
        <v>5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3</v>
      </c>
      <c r="M230">
        <v>13</v>
      </c>
      <c r="N230">
        <v>391</v>
      </c>
      <c r="O230">
        <v>2</v>
      </c>
    </row>
    <row r="231" spans="1:15" x14ac:dyDescent="0.3">
      <c r="A231">
        <v>6</v>
      </c>
      <c r="B231">
        <v>0</v>
      </c>
      <c r="C231">
        <v>1</v>
      </c>
      <c r="D231">
        <v>0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13</v>
      </c>
      <c r="N231">
        <v>503</v>
      </c>
      <c r="O231">
        <v>2</v>
      </c>
    </row>
    <row r="232" spans="1:15" x14ac:dyDescent="0.3">
      <c r="A232">
        <v>7</v>
      </c>
      <c r="B232">
        <v>0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3</v>
      </c>
      <c r="M232">
        <v>13</v>
      </c>
      <c r="N232">
        <v>491</v>
      </c>
      <c r="O232">
        <v>5</v>
      </c>
    </row>
    <row r="233" spans="1:15" x14ac:dyDescent="0.3">
      <c r="A233">
        <v>8</v>
      </c>
      <c r="B233">
        <v>0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3</v>
      </c>
      <c r="M233">
        <v>13</v>
      </c>
      <c r="N233">
        <v>552.5</v>
      </c>
      <c r="O233">
        <v>2</v>
      </c>
    </row>
    <row r="234" spans="1:15" x14ac:dyDescent="0.3">
      <c r="A234">
        <v>9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3</v>
      </c>
      <c r="M234">
        <v>13</v>
      </c>
      <c r="N234">
        <v>486</v>
      </c>
      <c r="O234">
        <v>2</v>
      </c>
    </row>
    <row r="235" spans="1:15" x14ac:dyDescent="0.3">
      <c r="A235">
        <v>10</v>
      </c>
      <c r="B235">
        <v>1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3</v>
      </c>
      <c r="M235">
        <v>13</v>
      </c>
      <c r="N235">
        <v>348.5</v>
      </c>
      <c r="O235">
        <v>2</v>
      </c>
    </row>
    <row r="236" spans="1:15" x14ac:dyDescent="0.3">
      <c r="A236">
        <v>11</v>
      </c>
      <c r="B236">
        <v>1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3</v>
      </c>
      <c r="M236">
        <v>13</v>
      </c>
      <c r="N236">
        <v>618</v>
      </c>
      <c r="O236">
        <v>5</v>
      </c>
    </row>
    <row r="237" spans="1:15" x14ac:dyDescent="0.3">
      <c r="A237">
        <v>12</v>
      </c>
      <c r="B237">
        <v>1</v>
      </c>
      <c r="C237">
        <v>0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3</v>
      </c>
      <c r="M237">
        <v>13</v>
      </c>
      <c r="N237">
        <v>469</v>
      </c>
      <c r="O237">
        <v>2</v>
      </c>
    </row>
    <row r="238" spans="1:15" x14ac:dyDescent="0.3">
      <c r="A238">
        <v>13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13</v>
      </c>
      <c r="N238">
        <v>520</v>
      </c>
      <c r="O238">
        <v>2</v>
      </c>
    </row>
    <row r="239" spans="1:15" x14ac:dyDescent="0.3">
      <c r="A239">
        <v>14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3</v>
      </c>
      <c r="M239">
        <v>13</v>
      </c>
      <c r="N239">
        <v>340</v>
      </c>
      <c r="O239">
        <v>2</v>
      </c>
    </row>
    <row r="240" spans="1:15" x14ac:dyDescent="0.3">
      <c r="A240">
        <v>15</v>
      </c>
      <c r="B240">
        <v>1</v>
      </c>
      <c r="C240">
        <v>1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3</v>
      </c>
      <c r="M240">
        <v>13</v>
      </c>
      <c r="N240">
        <v>560</v>
      </c>
      <c r="O240">
        <v>2</v>
      </c>
    </row>
    <row r="241" spans="1:15" x14ac:dyDescent="0.3">
      <c r="A241">
        <v>16</v>
      </c>
      <c r="B241">
        <v>1</v>
      </c>
      <c r="C241">
        <v>1</v>
      </c>
      <c r="D241">
        <v>1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3</v>
      </c>
      <c r="M241">
        <v>13</v>
      </c>
      <c r="N241">
        <v>396</v>
      </c>
      <c r="O241">
        <v>2</v>
      </c>
    </row>
    <row r="242" spans="1:15" x14ac:dyDescent="0.3">
      <c r="A242">
        <v>17</v>
      </c>
      <c r="B242">
        <v>1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3</v>
      </c>
      <c r="M242">
        <v>13</v>
      </c>
      <c r="N242">
        <v>475</v>
      </c>
      <c r="O242">
        <v>15</v>
      </c>
    </row>
    <row r="243" spans="1:15" x14ac:dyDescent="0.3">
      <c r="A243">
        <v>18</v>
      </c>
      <c r="B243">
        <v>2</v>
      </c>
      <c r="C243">
        <v>2</v>
      </c>
      <c r="D243">
        <v>2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3</v>
      </c>
      <c r="M243">
        <v>13</v>
      </c>
      <c r="N243">
        <v>682</v>
      </c>
      <c r="O243" s="42">
        <v>10</v>
      </c>
    </row>
    <row r="244" spans="1:15" x14ac:dyDescent="0.3">
      <c r="A244">
        <v>19</v>
      </c>
      <c r="B244">
        <v>2</v>
      </c>
      <c r="C244">
        <v>2</v>
      </c>
      <c r="D244">
        <v>2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3</v>
      </c>
      <c r="M244">
        <v>13</v>
      </c>
      <c r="N244">
        <v>552</v>
      </c>
      <c r="O244" s="42">
        <v>20</v>
      </c>
    </row>
    <row r="245" spans="1:15" x14ac:dyDescent="0.3">
      <c r="A245">
        <v>20</v>
      </c>
      <c r="B245">
        <v>2</v>
      </c>
      <c r="C245">
        <v>2</v>
      </c>
      <c r="D245">
        <v>2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3</v>
      </c>
      <c r="M245">
        <v>13</v>
      </c>
      <c r="N245">
        <v>600</v>
      </c>
      <c r="O245" s="42">
        <v>10</v>
      </c>
    </row>
    <row r="246" spans="1:15" x14ac:dyDescent="0.3">
      <c r="A246">
        <v>21</v>
      </c>
      <c r="B246">
        <v>2</v>
      </c>
      <c r="C246">
        <v>2</v>
      </c>
      <c r="D246">
        <v>2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13</v>
      </c>
      <c r="N246">
        <v>611</v>
      </c>
      <c r="O246" s="42">
        <v>10</v>
      </c>
    </row>
    <row r="247" spans="1:15" x14ac:dyDescent="0.3">
      <c r="A247">
        <v>22</v>
      </c>
      <c r="B247">
        <v>2</v>
      </c>
      <c r="C247">
        <v>2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3</v>
      </c>
      <c r="M247">
        <v>13</v>
      </c>
      <c r="N247">
        <v>717</v>
      </c>
      <c r="O247" s="42">
        <v>20</v>
      </c>
    </row>
    <row r="248" spans="1:15" x14ac:dyDescent="0.3">
      <c r="A248">
        <v>23</v>
      </c>
      <c r="B248">
        <v>2</v>
      </c>
      <c r="C248">
        <v>2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3</v>
      </c>
      <c r="M248">
        <v>13</v>
      </c>
      <c r="N248">
        <v>698</v>
      </c>
      <c r="O248">
        <v>20</v>
      </c>
    </row>
    <row r="249" spans="1:15" x14ac:dyDescent="0.3">
      <c r="A249">
        <v>24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0</v>
      </c>
      <c r="L249">
        <v>3</v>
      </c>
      <c r="M249">
        <v>13</v>
      </c>
      <c r="N249">
        <v>420</v>
      </c>
      <c r="O249">
        <v>2</v>
      </c>
    </row>
    <row r="250" spans="1:15" x14ac:dyDescent="0.3">
      <c r="A250">
        <v>25</v>
      </c>
      <c r="B250">
        <v>2</v>
      </c>
      <c r="C250">
        <v>2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3</v>
      </c>
      <c r="M250">
        <v>13</v>
      </c>
      <c r="N250">
        <v>880</v>
      </c>
      <c r="O250">
        <v>45</v>
      </c>
    </row>
    <row r="251" spans="1:15" x14ac:dyDescent="0.3">
      <c r="A251">
        <v>26</v>
      </c>
      <c r="B251">
        <v>1</v>
      </c>
      <c r="C251">
        <v>1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1</v>
      </c>
      <c r="L251">
        <v>3</v>
      </c>
      <c r="M251">
        <v>13</v>
      </c>
      <c r="N251">
        <v>720</v>
      </c>
      <c r="O251">
        <v>2</v>
      </c>
    </row>
    <row r="252" spans="1:15" x14ac:dyDescent="0.3">
      <c r="A252">
        <v>27</v>
      </c>
      <c r="B252">
        <v>2</v>
      </c>
      <c r="C252">
        <v>2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3</v>
      </c>
      <c r="M252">
        <v>13</v>
      </c>
      <c r="N252">
        <v>816</v>
      </c>
      <c r="O252">
        <v>2</v>
      </c>
    </row>
    <row r="253" spans="1:15" x14ac:dyDescent="0.3">
      <c r="A253">
        <v>28</v>
      </c>
      <c r="B253">
        <v>1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3</v>
      </c>
      <c r="M253">
        <v>13</v>
      </c>
      <c r="N253">
        <v>487</v>
      </c>
      <c r="O253">
        <v>15</v>
      </c>
    </row>
    <row r="254" spans="1:15" x14ac:dyDescent="0.3">
      <c r="A254">
        <v>27</v>
      </c>
      <c r="B254">
        <v>2</v>
      </c>
      <c r="C254">
        <v>2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5</v>
      </c>
      <c r="N254">
        <v>382</v>
      </c>
      <c r="O254">
        <v>20</v>
      </c>
    </row>
    <row r="255" spans="1:15" x14ac:dyDescent="0.3">
      <c r="A255">
        <v>27</v>
      </c>
      <c r="B255">
        <v>2</v>
      </c>
      <c r="C255">
        <v>2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6</v>
      </c>
      <c r="N255">
        <v>402</v>
      </c>
      <c r="O255">
        <v>15</v>
      </c>
    </row>
    <row r="256" spans="1:15" x14ac:dyDescent="0.3">
      <c r="A256">
        <v>27</v>
      </c>
      <c r="B256">
        <v>2</v>
      </c>
      <c r="C256">
        <v>2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7</v>
      </c>
      <c r="N256">
        <v>450</v>
      </c>
      <c r="O256">
        <v>30</v>
      </c>
    </row>
    <row r="257" spans="1:15" x14ac:dyDescent="0.3">
      <c r="A257">
        <v>27</v>
      </c>
      <c r="B257">
        <v>2</v>
      </c>
      <c r="C257">
        <v>2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8</v>
      </c>
      <c r="N257">
        <v>507</v>
      </c>
      <c r="O257">
        <v>35</v>
      </c>
    </row>
    <row r="258" spans="1:15" x14ac:dyDescent="0.3">
      <c r="A258">
        <v>27</v>
      </c>
      <c r="B258">
        <v>2</v>
      </c>
      <c r="C258">
        <v>2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9</v>
      </c>
      <c r="N258">
        <v>586</v>
      </c>
      <c r="O258">
        <v>40</v>
      </c>
    </row>
    <row r="259" spans="1:15" x14ac:dyDescent="0.3">
      <c r="A259">
        <v>27</v>
      </c>
      <c r="B259">
        <v>2</v>
      </c>
      <c r="C259">
        <v>2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10</v>
      </c>
      <c r="N259">
        <v>650</v>
      </c>
      <c r="O259">
        <v>40</v>
      </c>
    </row>
    <row r="260" spans="1:15" x14ac:dyDescent="0.3">
      <c r="A260">
        <v>27</v>
      </c>
      <c r="B260">
        <v>2</v>
      </c>
      <c r="C260">
        <v>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5</v>
      </c>
      <c r="N260">
        <v>395</v>
      </c>
      <c r="O260">
        <v>20</v>
      </c>
    </row>
    <row r="261" spans="1:15" x14ac:dyDescent="0.3">
      <c r="A261">
        <v>27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6</v>
      </c>
      <c r="N261">
        <v>411</v>
      </c>
      <c r="O261">
        <v>15</v>
      </c>
    </row>
    <row r="262" spans="1:15" x14ac:dyDescent="0.3">
      <c r="A262">
        <v>27</v>
      </c>
      <c r="B262">
        <v>2</v>
      </c>
      <c r="C262">
        <v>2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7</v>
      </c>
      <c r="N262">
        <v>465</v>
      </c>
      <c r="O262">
        <v>30</v>
      </c>
    </row>
    <row r="263" spans="1:15" x14ac:dyDescent="0.3">
      <c r="A263">
        <v>27</v>
      </c>
      <c r="B263">
        <v>2</v>
      </c>
      <c r="C263">
        <v>2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8</v>
      </c>
      <c r="N263">
        <v>508</v>
      </c>
      <c r="O263">
        <v>35</v>
      </c>
    </row>
    <row r="264" spans="1:15" x14ac:dyDescent="0.3">
      <c r="A264">
        <v>27</v>
      </c>
      <c r="B264">
        <v>2</v>
      </c>
      <c r="C264">
        <v>2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9</v>
      </c>
      <c r="N264" s="326">
        <v>587</v>
      </c>
      <c r="O264">
        <v>50</v>
      </c>
    </row>
    <row r="265" spans="1:15" x14ac:dyDescent="0.3">
      <c r="A265">
        <v>27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10</v>
      </c>
      <c r="N265">
        <v>644</v>
      </c>
      <c r="O265">
        <v>50</v>
      </c>
    </row>
    <row r="266" spans="1:15" x14ac:dyDescent="0.3">
      <c r="A266">
        <v>27</v>
      </c>
      <c r="B266">
        <v>2</v>
      </c>
      <c r="C266">
        <v>2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5</v>
      </c>
      <c r="N266">
        <v>375</v>
      </c>
      <c r="O266">
        <v>15</v>
      </c>
    </row>
    <row r="267" spans="1:15" x14ac:dyDescent="0.3">
      <c r="A267">
        <v>27</v>
      </c>
      <c r="B267">
        <v>2</v>
      </c>
      <c r="C267">
        <v>2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6</v>
      </c>
      <c r="N267">
        <v>415</v>
      </c>
      <c r="O267">
        <v>20</v>
      </c>
    </row>
    <row r="268" spans="1:15" x14ac:dyDescent="0.3">
      <c r="A268">
        <v>27</v>
      </c>
      <c r="B268">
        <v>2</v>
      </c>
      <c r="C268">
        <v>2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7</v>
      </c>
      <c r="N268">
        <v>447</v>
      </c>
      <c r="O268">
        <v>30</v>
      </c>
    </row>
    <row r="269" spans="1:15" x14ac:dyDescent="0.3">
      <c r="A269">
        <v>27</v>
      </c>
      <c r="B269">
        <v>2</v>
      </c>
      <c r="C269">
        <v>2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8</v>
      </c>
      <c r="N269">
        <v>514</v>
      </c>
      <c r="O269">
        <v>38</v>
      </c>
    </row>
    <row r="270" spans="1:15" x14ac:dyDescent="0.3">
      <c r="A270">
        <v>27</v>
      </c>
      <c r="B270">
        <v>2</v>
      </c>
      <c r="C270">
        <v>2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9</v>
      </c>
      <c r="N270">
        <v>580</v>
      </c>
      <c r="O270">
        <v>45</v>
      </c>
    </row>
    <row r="271" spans="1:15" x14ac:dyDescent="0.3">
      <c r="A271">
        <v>27</v>
      </c>
      <c r="B271">
        <v>2</v>
      </c>
      <c r="C271">
        <v>2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10</v>
      </c>
      <c r="N271">
        <v>655</v>
      </c>
      <c r="O271">
        <v>55</v>
      </c>
    </row>
    <row r="272" spans="1:15" x14ac:dyDescent="0.3">
      <c r="A272">
        <v>27</v>
      </c>
      <c r="B272">
        <v>2</v>
      </c>
      <c r="C272">
        <v>2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2</v>
      </c>
      <c r="M272">
        <v>6</v>
      </c>
      <c r="N272">
        <v>385</v>
      </c>
      <c r="O272">
        <v>5</v>
      </c>
    </row>
    <row r="273" spans="1:15" x14ac:dyDescent="0.3">
      <c r="A273">
        <v>27</v>
      </c>
      <c r="B273">
        <v>2</v>
      </c>
      <c r="C273">
        <v>2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2</v>
      </c>
      <c r="M273">
        <v>7</v>
      </c>
      <c r="N273">
        <v>430</v>
      </c>
      <c r="O273">
        <v>5</v>
      </c>
    </row>
    <row r="274" spans="1:15" x14ac:dyDescent="0.3">
      <c r="A274">
        <v>27</v>
      </c>
      <c r="B274">
        <v>2</v>
      </c>
      <c r="C274">
        <v>2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2</v>
      </c>
      <c r="M274">
        <v>8</v>
      </c>
      <c r="N274">
        <v>463</v>
      </c>
      <c r="O274">
        <v>15</v>
      </c>
    </row>
    <row r="275" spans="1:15" x14ac:dyDescent="0.3">
      <c r="A275">
        <v>27</v>
      </c>
      <c r="B275">
        <v>2</v>
      </c>
      <c r="C275">
        <v>2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2</v>
      </c>
      <c r="M275">
        <v>9</v>
      </c>
      <c r="N275">
        <v>509</v>
      </c>
      <c r="O275">
        <v>11</v>
      </c>
    </row>
    <row r="276" spans="1:15" x14ac:dyDescent="0.3">
      <c r="A276">
        <v>27</v>
      </c>
      <c r="B276">
        <v>2</v>
      </c>
      <c r="C276">
        <v>2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2</v>
      </c>
      <c r="M276">
        <v>10</v>
      </c>
      <c r="N276">
        <v>576</v>
      </c>
      <c r="O276">
        <v>18</v>
      </c>
    </row>
    <row r="277" spans="1:15" x14ac:dyDescent="0.3">
      <c r="A277">
        <v>27</v>
      </c>
      <c r="B277">
        <v>2</v>
      </c>
      <c r="C277">
        <v>2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2</v>
      </c>
      <c r="M277">
        <v>11</v>
      </c>
      <c r="N277">
        <v>662</v>
      </c>
      <c r="O277">
        <v>17</v>
      </c>
    </row>
    <row r="278" spans="1:15" x14ac:dyDescent="0.3">
      <c r="A278">
        <v>27</v>
      </c>
      <c r="B278">
        <v>2</v>
      </c>
      <c r="C278">
        <v>2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2</v>
      </c>
      <c r="M278">
        <v>6</v>
      </c>
      <c r="N278">
        <v>378</v>
      </c>
      <c r="O278">
        <v>8</v>
      </c>
    </row>
    <row r="279" spans="1:15" x14ac:dyDescent="0.3">
      <c r="A279">
        <v>27</v>
      </c>
      <c r="B279">
        <v>2</v>
      </c>
      <c r="C279">
        <v>2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2</v>
      </c>
      <c r="M279">
        <v>7</v>
      </c>
      <c r="N279">
        <v>410</v>
      </c>
      <c r="O279">
        <v>12</v>
      </c>
    </row>
    <row r="280" spans="1:15" x14ac:dyDescent="0.3">
      <c r="A280">
        <v>27</v>
      </c>
      <c r="B280">
        <v>2</v>
      </c>
      <c r="C280">
        <v>2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2</v>
      </c>
      <c r="M280">
        <v>8</v>
      </c>
      <c r="N280">
        <v>455</v>
      </c>
      <c r="O280">
        <v>13</v>
      </c>
    </row>
    <row r="281" spans="1:15" x14ac:dyDescent="0.3">
      <c r="A281">
        <v>27</v>
      </c>
      <c r="B281">
        <v>2</v>
      </c>
      <c r="C281">
        <v>2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2</v>
      </c>
      <c r="M281">
        <v>9</v>
      </c>
      <c r="N281">
        <v>502</v>
      </c>
      <c r="O281">
        <v>15</v>
      </c>
    </row>
    <row r="282" spans="1:15" x14ac:dyDescent="0.3">
      <c r="A282">
        <v>27</v>
      </c>
      <c r="B282">
        <v>2</v>
      </c>
      <c r="C282">
        <v>2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2</v>
      </c>
      <c r="M282">
        <v>10</v>
      </c>
      <c r="N282">
        <v>569</v>
      </c>
      <c r="O282">
        <v>17</v>
      </c>
    </row>
    <row r="283" spans="1:15" x14ac:dyDescent="0.3">
      <c r="A283">
        <v>27</v>
      </c>
      <c r="B283">
        <v>2</v>
      </c>
      <c r="C283">
        <v>2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2</v>
      </c>
      <c r="M283">
        <v>11</v>
      </c>
      <c r="N283">
        <v>654</v>
      </c>
      <c r="O283">
        <v>17</v>
      </c>
    </row>
    <row r="284" spans="1:15" x14ac:dyDescent="0.3">
      <c r="A284">
        <v>27</v>
      </c>
      <c r="B284">
        <v>2</v>
      </c>
      <c r="C284">
        <v>2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2</v>
      </c>
      <c r="M284">
        <v>6</v>
      </c>
      <c r="N284">
        <v>367</v>
      </c>
      <c r="O284">
        <v>7</v>
      </c>
    </row>
    <row r="285" spans="1:15" x14ac:dyDescent="0.3">
      <c r="A285">
        <v>27</v>
      </c>
      <c r="B285">
        <v>2</v>
      </c>
      <c r="C285">
        <v>2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2</v>
      </c>
      <c r="M285">
        <v>7</v>
      </c>
      <c r="N285">
        <v>421</v>
      </c>
      <c r="O285">
        <v>8</v>
      </c>
    </row>
    <row r="286" spans="1:15" x14ac:dyDescent="0.3">
      <c r="A286">
        <v>27</v>
      </c>
      <c r="B286">
        <v>2</v>
      </c>
      <c r="C286">
        <v>2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2</v>
      </c>
      <c r="M286">
        <v>8</v>
      </c>
      <c r="N286">
        <v>478</v>
      </c>
      <c r="O286">
        <v>10</v>
      </c>
    </row>
    <row r="287" spans="1:15" x14ac:dyDescent="0.3">
      <c r="A287">
        <v>27</v>
      </c>
      <c r="B287">
        <v>2</v>
      </c>
      <c r="C287">
        <v>2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2</v>
      </c>
      <c r="M287">
        <v>9</v>
      </c>
      <c r="N287">
        <v>522</v>
      </c>
      <c r="O287">
        <v>11</v>
      </c>
    </row>
    <row r="288" spans="1:15" x14ac:dyDescent="0.3">
      <c r="A288">
        <v>27</v>
      </c>
      <c r="B288">
        <v>2</v>
      </c>
      <c r="C288">
        <v>2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2</v>
      </c>
      <c r="M288">
        <v>10</v>
      </c>
      <c r="N288">
        <v>573</v>
      </c>
      <c r="O288">
        <v>15</v>
      </c>
    </row>
    <row r="289" spans="1:15" x14ac:dyDescent="0.3">
      <c r="A289">
        <v>27</v>
      </c>
      <c r="B289">
        <v>2</v>
      </c>
      <c r="C289">
        <v>2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2</v>
      </c>
      <c r="M289">
        <v>11</v>
      </c>
      <c r="N289">
        <v>660</v>
      </c>
      <c r="O289">
        <v>18</v>
      </c>
    </row>
    <row r="290" spans="1:15" x14ac:dyDescent="0.3">
      <c r="A290">
        <v>27</v>
      </c>
      <c r="B290">
        <v>2</v>
      </c>
      <c r="C290">
        <v>2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3</v>
      </c>
      <c r="M290">
        <v>7</v>
      </c>
      <c r="N290">
        <v>379</v>
      </c>
      <c r="O290">
        <v>2</v>
      </c>
    </row>
    <row r="291" spans="1:15" x14ac:dyDescent="0.3">
      <c r="A291">
        <v>27</v>
      </c>
      <c r="B291">
        <v>2</v>
      </c>
      <c r="C291">
        <v>2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3</v>
      </c>
      <c r="M291">
        <v>8</v>
      </c>
      <c r="N291">
        <v>400</v>
      </c>
      <c r="O291">
        <v>2</v>
      </c>
    </row>
    <row r="292" spans="1:15" x14ac:dyDescent="0.3">
      <c r="A292">
        <v>27</v>
      </c>
      <c r="B292">
        <v>2</v>
      </c>
      <c r="C292">
        <v>2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3</v>
      </c>
      <c r="M292">
        <v>9</v>
      </c>
      <c r="N292">
        <v>440</v>
      </c>
      <c r="O292">
        <v>3</v>
      </c>
    </row>
    <row r="293" spans="1:15" x14ac:dyDescent="0.3">
      <c r="A293">
        <v>27</v>
      </c>
      <c r="B293">
        <v>2</v>
      </c>
      <c r="C293">
        <v>2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3</v>
      </c>
      <c r="M293">
        <v>10</v>
      </c>
      <c r="N293">
        <v>516</v>
      </c>
      <c r="O293">
        <v>6</v>
      </c>
    </row>
    <row r="294" spans="1:15" x14ac:dyDescent="0.3">
      <c r="A294">
        <v>27</v>
      </c>
      <c r="B294">
        <v>2</v>
      </c>
      <c r="C294">
        <v>2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3</v>
      </c>
      <c r="M294">
        <v>11</v>
      </c>
      <c r="N294">
        <v>630</v>
      </c>
      <c r="O294">
        <v>11</v>
      </c>
    </row>
    <row r="295" spans="1:15" x14ac:dyDescent="0.3">
      <c r="A295">
        <v>27</v>
      </c>
      <c r="B295">
        <v>2</v>
      </c>
      <c r="C295">
        <v>2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3</v>
      </c>
      <c r="M295">
        <v>12</v>
      </c>
      <c r="N295">
        <v>676</v>
      </c>
      <c r="O295">
        <v>16</v>
      </c>
    </row>
    <row r="296" spans="1:15" x14ac:dyDescent="0.3">
      <c r="A296">
        <v>27</v>
      </c>
      <c r="B296">
        <v>2</v>
      </c>
      <c r="C296">
        <v>2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3</v>
      </c>
      <c r="M296">
        <v>7</v>
      </c>
      <c r="N296">
        <v>367</v>
      </c>
      <c r="O296">
        <v>3</v>
      </c>
    </row>
    <row r="297" spans="1:15" x14ac:dyDescent="0.3">
      <c r="A297">
        <v>27</v>
      </c>
      <c r="B297">
        <v>2</v>
      </c>
      <c r="C297">
        <v>2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3</v>
      </c>
      <c r="M297">
        <v>8</v>
      </c>
      <c r="N297">
        <v>404</v>
      </c>
      <c r="O297">
        <v>5</v>
      </c>
    </row>
    <row r="298" spans="1:15" x14ac:dyDescent="0.3">
      <c r="A298">
        <v>27</v>
      </c>
      <c r="B298">
        <v>2</v>
      </c>
      <c r="C298">
        <v>2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3</v>
      </c>
      <c r="M298">
        <v>9</v>
      </c>
      <c r="N298">
        <v>454</v>
      </c>
      <c r="O298">
        <v>2</v>
      </c>
    </row>
    <row r="299" spans="1:15" x14ac:dyDescent="0.3">
      <c r="A299">
        <v>27</v>
      </c>
      <c r="B299">
        <v>2</v>
      </c>
      <c r="C299">
        <v>2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3</v>
      </c>
      <c r="M299">
        <v>10</v>
      </c>
      <c r="N299">
        <v>510</v>
      </c>
      <c r="O299">
        <v>5</v>
      </c>
    </row>
    <row r="300" spans="1:15" x14ac:dyDescent="0.3">
      <c r="A300">
        <v>27</v>
      </c>
      <c r="B300">
        <v>2</v>
      </c>
      <c r="C300">
        <v>2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3</v>
      </c>
      <c r="M300">
        <v>11</v>
      </c>
      <c r="N300">
        <v>616</v>
      </c>
      <c r="O300">
        <v>12</v>
      </c>
    </row>
    <row r="301" spans="1:15" x14ac:dyDescent="0.3">
      <c r="A301">
        <v>27</v>
      </c>
      <c r="B301">
        <v>2</v>
      </c>
      <c r="C301">
        <v>2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3</v>
      </c>
      <c r="M301">
        <v>12</v>
      </c>
      <c r="N301">
        <v>669</v>
      </c>
      <c r="O301">
        <v>11</v>
      </c>
    </row>
    <row r="302" spans="1:15" x14ac:dyDescent="0.3">
      <c r="A302">
        <v>27</v>
      </c>
      <c r="B302">
        <v>2</v>
      </c>
      <c r="C302">
        <v>2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3</v>
      </c>
      <c r="M302">
        <v>7</v>
      </c>
      <c r="N302">
        <v>371</v>
      </c>
      <c r="O302">
        <v>2</v>
      </c>
    </row>
    <row r="303" spans="1:15" x14ac:dyDescent="0.3">
      <c r="A303">
        <v>27</v>
      </c>
      <c r="B303">
        <v>2</v>
      </c>
      <c r="C303">
        <v>2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3</v>
      </c>
      <c r="M303">
        <v>8</v>
      </c>
      <c r="N303">
        <v>400</v>
      </c>
      <c r="O303">
        <v>6</v>
      </c>
    </row>
    <row r="304" spans="1:15" x14ac:dyDescent="0.3">
      <c r="A304">
        <v>27</v>
      </c>
      <c r="B304">
        <v>2</v>
      </c>
      <c r="C304">
        <v>2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3</v>
      </c>
      <c r="M304">
        <v>9</v>
      </c>
      <c r="N304">
        <v>466</v>
      </c>
      <c r="O304">
        <v>7</v>
      </c>
    </row>
    <row r="305" spans="1:15" x14ac:dyDescent="0.3">
      <c r="A305">
        <v>27</v>
      </c>
      <c r="B305">
        <v>2</v>
      </c>
      <c r="C305">
        <v>2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3</v>
      </c>
      <c r="M305">
        <v>10</v>
      </c>
      <c r="N305">
        <v>509</v>
      </c>
      <c r="O305">
        <v>9</v>
      </c>
    </row>
    <row r="306" spans="1:15" x14ac:dyDescent="0.3">
      <c r="A306">
        <v>27</v>
      </c>
      <c r="B306">
        <v>2</v>
      </c>
      <c r="C306">
        <v>2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3</v>
      </c>
      <c r="M306">
        <v>11</v>
      </c>
      <c r="N306">
        <v>633</v>
      </c>
      <c r="O306">
        <v>10</v>
      </c>
    </row>
    <row r="307" spans="1:15" x14ac:dyDescent="0.3">
      <c r="A307">
        <v>27</v>
      </c>
      <c r="B307">
        <v>2</v>
      </c>
      <c r="C307">
        <v>2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3</v>
      </c>
      <c r="M307">
        <v>12</v>
      </c>
      <c r="N307">
        <v>657</v>
      </c>
      <c r="O307">
        <v>15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8d7fe-8e03-40aa-a85b-fcc42ea6fa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BDA17FABECAAE74A9C621B2584595AE0" ma:contentTypeVersion="6" ma:contentTypeDescription="建立新的文件。" ma:contentTypeScope="" ma:versionID="2930fbdeb77851deba4bcf2cffd117ea">
  <xsd:schema xmlns:xsd="http://www.w3.org/2001/XMLSchema" xmlns:xs="http://www.w3.org/2001/XMLSchema" xmlns:p="http://schemas.microsoft.com/office/2006/metadata/properties" xmlns:ns3="9bd8d7fe-8e03-40aa-a85b-fcc42ea6faa0" targetNamespace="http://schemas.microsoft.com/office/2006/metadata/properties" ma:root="true" ma:fieldsID="59db8a15349c5c7ce7ccd4f066440d4a" ns3:_="">
    <xsd:import namespace="9bd8d7fe-8e03-40aa-a85b-fcc42ea6f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8d7fe-8e03-40aa-a85b-fcc42ea6f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8C81E9-0C2D-428C-8259-46AE57FF8FB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5555B84-CFF9-40DA-BC06-50A83F4F6370}">
  <ds:schemaRefs>
    <ds:schemaRef ds:uri="http://schemas.openxmlformats.org/package/2006/metadata/core-properties"/>
    <ds:schemaRef ds:uri="9bd8d7fe-8e03-40aa-a85b-fcc42ea6faa0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C2163DD-CC9B-4DA5-A528-190818F76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8d7fe-8e03-40aa-a85b-fcc42ea6f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68744C-B40B-48EE-9D95-58ED403C3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全數據表格</vt:lpstr>
      <vt:lpstr>第一階段測試結果</vt:lpstr>
      <vt:lpstr>第二階段全因子</vt:lpstr>
      <vt:lpstr>第三階段全因子預測</vt:lpstr>
      <vt:lpstr>剖析圖表</vt:lpstr>
      <vt:lpstr>original data</vt:lpstr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黃琦幃 HUANG,CHI-WEI</dc:creator>
  <cp:lastModifiedBy>黃琦幃 HUANG,CHI-WEI</cp:lastModifiedBy>
  <dcterms:created xsi:type="dcterms:W3CDTF">2025-03-24T01:09:47Z</dcterms:created>
  <dcterms:modified xsi:type="dcterms:W3CDTF">2026-02-25T14:41:41Z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0x010100BDA17FABECAAE74A9C621B2584595AE0</vt:lpwstr>
  </property>
</Properties>
</file>